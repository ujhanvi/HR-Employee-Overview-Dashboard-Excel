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Jhanvi\OneDrive\Desktop\Sure Pro_ed\Projects\Excel project\"/>
    </mc:Choice>
  </mc:AlternateContent>
  <xr:revisionPtr revIDLastSave="0" documentId="13_ncr:1_{BC25F93E-38FA-4F87-B82C-0F2501C64531}" xr6:coauthVersionLast="47" xr6:coauthVersionMax="47" xr10:uidLastSave="{00000000-0000-0000-0000-000000000000}"/>
  <bookViews>
    <workbookView xWindow="-120" yWindow="-120" windowWidth="20730" windowHeight="11760" activeTab="2" xr2:uid="{E8B3734A-6554-4BBD-9F78-73D8EFBD980D}"/>
  </bookViews>
  <sheets>
    <sheet name="Sheet1" sheetId="1" r:id="rId1"/>
    <sheet name="Pivot_data" sheetId="3" r:id="rId2"/>
    <sheet name="Dashboard" sheetId="2" r:id="rId3"/>
  </sheets>
  <definedNames>
    <definedName name="Slicer_Department">#N/A</definedName>
    <definedName name="Slicer_Department_wise_Total">#N/A</definedName>
    <definedName name="Slicer_Full_Part_Time">#N/A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1" i="1" l="1"/>
  <c r="P13" i="1"/>
  <c r="P12" i="1"/>
  <c r="P11" i="1"/>
  <c r="P10" i="1"/>
  <c r="P9" i="1"/>
  <c r="P8" i="1"/>
  <c r="P7" i="1"/>
  <c r="P22" i="1"/>
  <c r="P19" i="1"/>
  <c r="C4" i="1"/>
  <c r="F4" i="1"/>
  <c r="G4" i="1"/>
  <c r="K4" i="1"/>
  <c r="L4" i="1"/>
  <c r="M4" i="1"/>
  <c r="M38" i="1"/>
  <c r="L38" i="1"/>
  <c r="K38" i="1"/>
  <c r="G38" i="1"/>
  <c r="F38" i="1"/>
  <c r="C38" i="1"/>
  <c r="M37" i="1"/>
  <c r="L37" i="1"/>
  <c r="K37" i="1"/>
  <c r="G37" i="1"/>
  <c r="F37" i="1"/>
  <c r="C37" i="1"/>
  <c r="M36" i="1"/>
  <c r="L36" i="1"/>
  <c r="K36" i="1"/>
  <c r="G36" i="1"/>
  <c r="F36" i="1"/>
  <c r="C36" i="1"/>
  <c r="M35" i="1"/>
  <c r="L35" i="1"/>
  <c r="K35" i="1"/>
  <c r="G35" i="1"/>
  <c r="F35" i="1"/>
  <c r="C35" i="1"/>
  <c r="M34" i="1"/>
  <c r="L34" i="1"/>
  <c r="K34" i="1"/>
  <c r="G34" i="1"/>
  <c r="F34" i="1"/>
  <c r="C34" i="1"/>
  <c r="M33" i="1"/>
  <c r="L33" i="1"/>
  <c r="K33" i="1"/>
  <c r="G33" i="1"/>
  <c r="F33" i="1"/>
  <c r="C33" i="1"/>
  <c r="M32" i="1"/>
  <c r="L32" i="1"/>
  <c r="K32" i="1"/>
  <c r="G32" i="1"/>
  <c r="F32" i="1"/>
  <c r="C32" i="1"/>
  <c r="M31" i="1"/>
  <c r="L31" i="1"/>
  <c r="K31" i="1"/>
  <c r="G31" i="1"/>
  <c r="F31" i="1"/>
  <c r="C31" i="1"/>
  <c r="M30" i="1"/>
  <c r="L30" i="1"/>
  <c r="K30" i="1"/>
  <c r="G30" i="1"/>
  <c r="F30" i="1"/>
  <c r="C30" i="1"/>
  <c r="M29" i="1"/>
  <c r="L29" i="1"/>
  <c r="K29" i="1"/>
  <c r="G29" i="1"/>
  <c r="F29" i="1"/>
  <c r="C29" i="1"/>
  <c r="M28" i="1"/>
  <c r="L28" i="1"/>
  <c r="K28" i="1"/>
  <c r="G28" i="1"/>
  <c r="F28" i="1"/>
  <c r="C28" i="1"/>
  <c r="M27" i="1"/>
  <c r="L27" i="1"/>
  <c r="K27" i="1"/>
  <c r="G27" i="1"/>
  <c r="F27" i="1"/>
  <c r="C27" i="1"/>
  <c r="M26" i="1"/>
  <c r="L26" i="1"/>
  <c r="K26" i="1"/>
  <c r="G26" i="1"/>
  <c r="F26" i="1"/>
  <c r="C26" i="1"/>
  <c r="M25" i="1"/>
  <c r="L25" i="1"/>
  <c r="K25" i="1"/>
  <c r="G25" i="1"/>
  <c r="F25" i="1"/>
  <c r="C25" i="1"/>
  <c r="M24" i="1"/>
  <c r="L24" i="1"/>
  <c r="K24" i="1"/>
  <c r="G24" i="1"/>
  <c r="F24" i="1"/>
  <c r="C24" i="1"/>
  <c r="M23" i="1"/>
  <c r="L23" i="1"/>
  <c r="K23" i="1"/>
  <c r="G23" i="1"/>
  <c r="F23" i="1"/>
  <c r="C23" i="1"/>
  <c r="M22" i="1"/>
  <c r="L22" i="1"/>
  <c r="K22" i="1"/>
  <c r="G22" i="1"/>
  <c r="F22" i="1"/>
  <c r="C22" i="1"/>
  <c r="M21" i="1"/>
  <c r="L21" i="1"/>
  <c r="K21" i="1"/>
  <c r="G21" i="1"/>
  <c r="F21" i="1"/>
  <c r="C21" i="1"/>
  <c r="M20" i="1"/>
  <c r="L20" i="1"/>
  <c r="K20" i="1"/>
  <c r="G20" i="1"/>
  <c r="F20" i="1"/>
  <c r="C20" i="1"/>
  <c r="M19" i="1"/>
  <c r="L19" i="1"/>
  <c r="K19" i="1"/>
  <c r="G19" i="1"/>
  <c r="F19" i="1"/>
  <c r="C19" i="1"/>
  <c r="M18" i="1"/>
  <c r="L18" i="1"/>
  <c r="K18" i="1"/>
  <c r="G18" i="1"/>
  <c r="F18" i="1"/>
  <c r="C18" i="1"/>
  <c r="M17" i="1"/>
  <c r="L17" i="1"/>
  <c r="K17" i="1"/>
  <c r="G17" i="1"/>
  <c r="F17" i="1"/>
  <c r="C17" i="1"/>
  <c r="M16" i="1"/>
  <c r="L16" i="1"/>
  <c r="K16" i="1"/>
  <c r="G16" i="1"/>
  <c r="F16" i="1"/>
  <c r="C16" i="1"/>
  <c r="M15" i="1"/>
  <c r="L15" i="1"/>
  <c r="K15" i="1"/>
  <c r="G15" i="1"/>
  <c r="F15" i="1"/>
  <c r="C15" i="1"/>
  <c r="M14" i="1"/>
  <c r="L14" i="1"/>
  <c r="K14" i="1"/>
  <c r="G14" i="1"/>
  <c r="F14" i="1"/>
  <c r="C14" i="1"/>
  <c r="M13" i="1"/>
  <c r="L13" i="1"/>
  <c r="K13" i="1"/>
  <c r="G13" i="1"/>
  <c r="F13" i="1"/>
  <c r="C13" i="1"/>
  <c r="M12" i="1"/>
  <c r="L12" i="1"/>
  <c r="K12" i="1"/>
  <c r="G12" i="1"/>
  <c r="F12" i="1"/>
  <c r="C12" i="1"/>
  <c r="M11" i="1"/>
  <c r="L11" i="1"/>
  <c r="K11" i="1"/>
  <c r="G11" i="1"/>
  <c r="F11" i="1"/>
  <c r="C11" i="1"/>
  <c r="M10" i="1"/>
  <c r="L10" i="1"/>
  <c r="K10" i="1"/>
  <c r="G10" i="1"/>
  <c r="F10" i="1"/>
  <c r="C10" i="1"/>
  <c r="M9" i="1"/>
  <c r="L9" i="1"/>
  <c r="K9" i="1"/>
  <c r="G9" i="1"/>
  <c r="F9" i="1"/>
  <c r="C9" i="1"/>
  <c r="M8" i="1"/>
  <c r="L8" i="1"/>
  <c r="K8" i="1"/>
  <c r="G8" i="1"/>
  <c r="F8" i="1"/>
  <c r="C8" i="1"/>
  <c r="M7" i="1"/>
  <c r="L7" i="1"/>
  <c r="K7" i="1"/>
  <c r="G7" i="1"/>
  <c r="F7" i="1"/>
  <c r="C7" i="1"/>
  <c r="M6" i="1"/>
  <c r="L6" i="1"/>
  <c r="K6" i="1"/>
  <c r="G6" i="1"/>
  <c r="F6" i="1"/>
  <c r="C6" i="1"/>
  <c r="M5" i="1"/>
  <c r="L5" i="1"/>
  <c r="K5" i="1"/>
  <c r="G5" i="1"/>
  <c r="F5" i="1"/>
  <c r="C5" i="1"/>
  <c r="P23" i="1" l="1"/>
</calcChain>
</file>

<file path=xl/sharedStrings.xml><?xml version="1.0" encoding="utf-8"?>
<sst xmlns="http://schemas.openxmlformats.org/spreadsheetml/2006/main" count="229" uniqueCount="145">
  <si>
    <t>Emp No.</t>
  </si>
  <si>
    <t>Full/Part Time</t>
  </si>
  <si>
    <t>Emp ID</t>
  </si>
  <si>
    <t>Last Name</t>
  </si>
  <si>
    <t>First Name</t>
  </si>
  <si>
    <t>Full Name</t>
  </si>
  <si>
    <t>Email</t>
  </si>
  <si>
    <t>Date of Hire</t>
  </si>
  <si>
    <t>Department</t>
  </si>
  <si>
    <t>Location</t>
  </si>
  <si>
    <t>Floor No.</t>
  </si>
  <si>
    <t>Wing</t>
  </si>
  <si>
    <t xml:space="preserve">Extension </t>
  </si>
  <si>
    <t>F</t>
  </si>
  <si>
    <t>Bacata</t>
  </si>
  <si>
    <t>Stevie</t>
  </si>
  <si>
    <t>Sales</t>
  </si>
  <si>
    <t>02-West-2635 </t>
  </si>
  <si>
    <t>BARRY</t>
  </si>
  <si>
    <t>Adam</t>
  </si>
  <si>
    <t>Customer Service</t>
  </si>
  <si>
    <t>02-West-2018 </t>
  </si>
  <si>
    <t>Betts</t>
  </si>
  <si>
    <t>Connor</t>
  </si>
  <si>
    <t>02-NorthEast-2347 </t>
  </si>
  <si>
    <t>P</t>
  </si>
  <si>
    <t>BINGA</t>
  </si>
  <si>
    <t>Fred</t>
  </si>
  <si>
    <t>Human Resources</t>
  </si>
  <si>
    <t>03-West-2764 </t>
  </si>
  <si>
    <t>Biti</t>
  </si>
  <si>
    <t>Yvette</t>
  </si>
  <si>
    <t>02-West-2589 _x001F_</t>
  </si>
  <si>
    <t>BOLLER</t>
  </si>
  <si>
    <t>Jim</t>
  </si>
  <si>
    <t>Accounting</t>
  </si>
  <si>
    <t>03-East-2318 </t>
  </si>
  <si>
    <t>Bui</t>
  </si>
  <si>
    <t>Charlie</t>
  </si>
  <si>
    <t>02-East-2694 </t>
  </si>
  <si>
    <t>Carlton</t>
  </si>
  <si>
    <t>Barbara</t>
  </si>
  <si>
    <t>02-West-2699 </t>
  </si>
  <si>
    <t>CAROL</t>
  </si>
  <si>
    <t>Joe</t>
  </si>
  <si>
    <t>Executive</t>
  </si>
  <si>
    <t>01-East-2321 </t>
  </si>
  <si>
    <t>CHAFFEE</t>
  </si>
  <si>
    <t>Facilities</t>
  </si>
  <si>
    <t>03-West-2432 </t>
  </si>
  <si>
    <t>Chairs</t>
  </si>
  <si>
    <t>Samantha</t>
  </si>
  <si>
    <t>02-West-2962 </t>
  </si>
  <si>
    <t>CHAUDRI</t>
  </si>
  <si>
    <t>Uma</t>
  </si>
  <si>
    <t>03-East-2134 _x001F_</t>
  </si>
  <si>
    <t>CHU</t>
  </si>
  <si>
    <t>Elizabeth</t>
  </si>
  <si>
    <t>IT</t>
  </si>
  <si>
    <t>01-West-2425 </t>
  </si>
  <si>
    <t>CHUNG</t>
  </si>
  <si>
    <t>Eric</t>
  </si>
  <si>
    <t>03-West-2796 </t>
  </si>
  <si>
    <t>CLARK</t>
  </si>
  <si>
    <t>ANNA</t>
  </si>
  <si>
    <t>03-West-2601 </t>
  </si>
  <si>
    <t>elizabeth</t>
  </si>
  <si>
    <t>02-NorthEast-2414 </t>
  </si>
  <si>
    <t>COLE</t>
  </si>
  <si>
    <t>Sabrina</t>
  </si>
  <si>
    <t>02-West-2537 </t>
  </si>
  <si>
    <t>COMUNTZIS</t>
  </si>
  <si>
    <t>Janet</t>
  </si>
  <si>
    <t>02-West-2286 </t>
  </si>
  <si>
    <t>DECKER</t>
  </si>
  <si>
    <t>Bob</t>
  </si>
  <si>
    <t>01-East-2086 _x001F_</t>
  </si>
  <si>
    <t>DESIATO</t>
  </si>
  <si>
    <t>Tina</t>
  </si>
  <si>
    <t>01-East-2358 </t>
  </si>
  <si>
    <t>DONNELL</t>
  </si>
  <si>
    <t>Alexandra</t>
  </si>
  <si>
    <t>03-West-2082 </t>
  </si>
  <si>
    <t>ELLIS</t>
  </si>
  <si>
    <t>Mark</t>
  </si>
  <si>
    <t>03-NorthEast-2482 </t>
  </si>
  <si>
    <t>Fernandes</t>
  </si>
  <si>
    <t>Nicholas</t>
  </si>
  <si>
    <t>02-East-2372 </t>
  </si>
  <si>
    <t>FERRIS</t>
  </si>
  <si>
    <t>Mary</t>
  </si>
  <si>
    <t>03-East-2392 </t>
  </si>
  <si>
    <t>FILOSA</t>
  </si>
  <si>
    <t>Susan</t>
  </si>
  <si>
    <t>02-West-2279 </t>
  </si>
  <si>
    <t>FLANDERS</t>
  </si>
  <si>
    <t>Daniel</t>
  </si>
  <si>
    <t>02-East-2639 </t>
  </si>
  <si>
    <t>Forrest</t>
  </si>
  <si>
    <t>Leighton</t>
  </si>
  <si>
    <t>02-East-2284 </t>
  </si>
  <si>
    <t>Gour</t>
  </si>
  <si>
    <t>Phoebe</t>
  </si>
  <si>
    <t>02-East-2910 </t>
  </si>
  <si>
    <t>Khan</t>
  </si>
  <si>
    <t>Mihael</t>
  </si>
  <si>
    <t>02-NorthEast-2294 </t>
  </si>
  <si>
    <t>SANDERS</t>
  </si>
  <si>
    <t>Sean</t>
  </si>
  <si>
    <t>03-West-2765 </t>
  </si>
  <si>
    <t>Senome</t>
  </si>
  <si>
    <t>Preston</t>
  </si>
  <si>
    <t>02-East-2260 </t>
  </si>
  <si>
    <t>Song</t>
  </si>
  <si>
    <t>Natasha</t>
  </si>
  <si>
    <t>02-East-2578 </t>
  </si>
  <si>
    <t>Staples</t>
  </si>
  <si>
    <t>Radhya</t>
  </si>
  <si>
    <t>02-East-2654 </t>
  </si>
  <si>
    <t>WANG</t>
  </si>
  <si>
    <t>Mei</t>
  </si>
  <si>
    <t>01-West-2783 </t>
  </si>
  <si>
    <t>Zhang</t>
  </si>
  <si>
    <t>Aanya</t>
  </si>
  <si>
    <t>02-East-2793 </t>
  </si>
  <si>
    <t>Total Employees</t>
  </si>
  <si>
    <t>Full Time Employees (F)</t>
  </si>
  <si>
    <t>Part Time Employees (P)</t>
  </si>
  <si>
    <t>Department-wise Total</t>
  </si>
  <si>
    <t>SALES</t>
  </si>
  <si>
    <t xml:space="preserve">ACCOUNTING </t>
  </si>
  <si>
    <t>CUSTOMER SERVICE</t>
  </si>
  <si>
    <t xml:space="preserve">IT </t>
  </si>
  <si>
    <t>HUMAN RESOURCES</t>
  </si>
  <si>
    <t>EXECUTIVE</t>
  </si>
  <si>
    <t>FACILITIES</t>
  </si>
  <si>
    <t>Column1</t>
  </si>
  <si>
    <t>No. of Employes</t>
  </si>
  <si>
    <t>Full-Time Employee %</t>
  </si>
  <si>
    <t>Column2</t>
  </si>
  <si>
    <t>Sum of Emp No.</t>
  </si>
  <si>
    <t>Row Labels</t>
  </si>
  <si>
    <t>Grand Total</t>
  </si>
  <si>
    <t>Count of Emp No.</t>
  </si>
  <si>
    <t>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</si>
</sst>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color theme="0"/>
      <name val="Calibri"/>
      <family val="2"/>
      <scheme val="minor"/>
    </font>
    <font>
      <sz val="12"/>
      <color theme="0"/>
      <name val="Times New Roman"/>
      <family val="1"/>
    </font>
    <font>
      <sz val="12"/>
      <color theme="1"/>
      <name val="Times New Roman"/>
      <family val="1"/>
    </font>
    <font>
      <sz val="12"/>
      <color rgb="FF000000"/>
      <name val="Times New Roman"/>
      <family val="1"/>
    </font>
    <font>
      <sz val="12"/>
      <name val="Times New Roman"/>
      <family val="1"/>
    </font>
  </fonts>
  <fills count="4">
    <fill>
      <patternFill patternType="none"/>
    </fill>
    <fill>
      <patternFill patternType="gray125"/>
    </fill>
    <fill>
      <patternFill patternType="solid">
        <fgColor theme="4"/>
      </patternFill>
    </fill>
    <fill>
      <patternFill patternType="solid">
        <fgColor rgb="FFCC0000"/>
        <bgColor indexed="64"/>
      </patternFill>
    </fill>
  </fills>
  <borders count="1">
    <border>
      <left/>
      <right/>
      <top/>
      <bottom/>
      <diagonal/>
    </border>
  </borders>
  <cellStyleXfs count="2">
    <xf numFmtId="0" fontId="0" fillId="0" borderId="0"/>
    <xf numFmtId="0" fontId="1" fillId="2" borderId="0" applyNumberFormat="0" applyBorder="0" applyAlignment="0" applyProtection="0"/>
  </cellStyleXfs>
  <cellXfs count="9">
    <xf numFmtId="0" fontId="0" fillId="0" borderId="0" xfId="0"/>
    <xf numFmtId="0" fontId="2" fillId="3" borderId="0" xfId="1" applyFont="1" applyFill="1" applyBorder="1" applyAlignment="1">
      <alignment horizontal="center" wrapText="1"/>
    </xf>
    <xf numFmtId="0" fontId="3" fillId="0" borderId="0" xfId="0" applyFont="1" applyAlignment="1">
      <alignment horizontal="center"/>
    </xf>
    <xf numFmtId="0" fontId="4" fillId="0" borderId="0" xfId="0" applyFont="1" applyAlignment="1">
      <alignment horizontal="center" wrapText="1"/>
    </xf>
    <xf numFmtId="14" fontId="3" fillId="0" borderId="0" xfId="0" applyNumberFormat="1" applyFont="1" applyAlignment="1">
      <alignment horizontal="center"/>
    </xf>
    <xf numFmtId="0" fontId="5" fillId="0" borderId="0" xfId="0" applyFont="1" applyAlignment="1">
      <alignment horizontal="center" wrapText="1"/>
    </xf>
    <xf numFmtId="10" fontId="0" fillId="0" borderId="0" xfId="0" applyNumberFormat="1"/>
    <xf numFmtId="0" fontId="0" fillId="0" borderId="0" xfId="0" pivotButton="1"/>
    <xf numFmtId="0" fontId="0" fillId="0" borderId="0" xfId="0" applyAlignment="1">
      <alignment horizontal="left"/>
    </xf>
  </cellXfs>
  <cellStyles count="2">
    <cellStyle name="Accent1" xfId="1" builtinId="29"/>
    <cellStyle name="Normal" xfId="0" builtinId="0"/>
  </cellStyles>
  <dxfs count="15">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dxf>
    <dxf>
      <font>
        <b val="0"/>
        <i val="0"/>
        <strike val="0"/>
        <condense val="0"/>
        <extend val="0"/>
        <outline val="0"/>
        <shadow val="0"/>
        <u val="none"/>
        <vertAlign val="baseline"/>
        <sz val="12"/>
        <color auto="1"/>
        <name val="Times New Roman"/>
        <family val="1"/>
        <scheme val="none"/>
      </font>
      <alignment horizontal="center" vertical="bottom" textRotation="0" wrapText="1" indent="0" justifyLastLine="0" shrinkToFit="0" readingOrder="0"/>
    </dxf>
    <dxf>
      <font>
        <b val="0"/>
        <i val="0"/>
        <strike val="0"/>
        <condense val="0"/>
        <extend val="0"/>
        <outline val="0"/>
        <shadow val="0"/>
        <u val="none"/>
        <vertAlign val="baseline"/>
        <sz val="12"/>
        <color auto="1"/>
        <name val="Times New Roman"/>
        <family val="1"/>
        <scheme val="none"/>
      </font>
      <alignment horizontal="center" vertical="bottom" textRotation="0" wrapText="1" indent="0" justifyLastLine="0" shrinkToFit="0" readingOrder="0"/>
    </dxf>
    <dxf>
      <font>
        <b val="0"/>
        <i val="0"/>
        <strike val="0"/>
        <condense val="0"/>
        <extend val="0"/>
        <outline val="0"/>
        <shadow val="0"/>
        <u val="none"/>
        <vertAlign val="baseline"/>
        <sz val="12"/>
        <color auto="1"/>
        <name val="Times New Roman"/>
        <family val="1"/>
        <scheme val="none"/>
      </font>
      <alignment horizontal="center" vertical="bottom" textRotation="0" wrapText="1" indent="0" justifyLastLine="0" shrinkToFit="0" readingOrder="0"/>
    </dxf>
    <dxf>
      <font>
        <b val="0"/>
        <i val="0"/>
        <strike val="0"/>
        <condense val="0"/>
        <extend val="0"/>
        <outline val="0"/>
        <shadow val="0"/>
        <u val="none"/>
        <vertAlign val="baseline"/>
        <sz val="12"/>
        <color theme="1"/>
        <name val="Times New Roman"/>
        <family val="1"/>
        <scheme val="none"/>
      </font>
      <numFmt numFmtId="19" formatCode="dd/mm/yyyy"/>
      <alignment horizontal="center" vertical="bottom" textRotation="0" wrapText="0" indent="0" justifyLastLine="0" shrinkToFit="0" readingOrder="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dxf>
    <dxf>
      <font>
        <b val="0"/>
        <i val="0"/>
        <strike val="0"/>
        <condense val="0"/>
        <extend val="0"/>
        <outline val="0"/>
        <shadow val="0"/>
        <u val="none"/>
        <vertAlign val="baseline"/>
        <sz val="12"/>
        <color rgb="FF000000"/>
        <name val="Times New Roman"/>
        <family val="1"/>
        <scheme val="none"/>
      </font>
      <alignment horizontal="center" vertical="bottom" textRotation="0" wrapText="1" indent="0" justifyLastLine="0" shrinkToFit="0" readingOrder="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Times New Roman"/>
        <family val="1"/>
        <scheme val="none"/>
      </font>
      <alignment horizontal="center" vertical="bottom" textRotation="0" wrapText="0" indent="0" justifyLastLine="0" shrinkToFit="0" readingOrder="0"/>
    </dxf>
    <dxf>
      <font>
        <b val="0"/>
        <i val="0"/>
        <strike val="0"/>
        <condense val="0"/>
        <extend val="0"/>
        <outline val="0"/>
        <shadow val="0"/>
        <u val="none"/>
        <vertAlign val="baseline"/>
        <sz val="12"/>
        <color auto="1"/>
        <name val="Times New Roman"/>
        <family val="1"/>
        <scheme val="none"/>
      </font>
      <alignment horizontal="center" vertical="bottom" textRotation="0" wrapText="1" indent="0" justifyLastLine="0" shrinkToFit="0" readingOrder="0"/>
    </dxf>
    <dxf>
      <font>
        <b val="0"/>
        <i val="0"/>
        <strike val="0"/>
        <condense val="0"/>
        <extend val="0"/>
        <outline val="0"/>
        <shadow val="0"/>
        <u val="none"/>
        <vertAlign val="baseline"/>
        <sz val="12"/>
        <color theme="0"/>
        <name val="Times New Roman"/>
        <family val="1"/>
        <scheme val="none"/>
      </font>
      <fill>
        <patternFill patternType="solid">
          <fgColor indexed="64"/>
          <bgColor rgb="FFCC0000"/>
        </patternFill>
      </fill>
      <alignment horizontal="center" vertical="bottom" textRotation="0" wrapText="1" indent="0" justifyLastLine="0" shrinkToFit="0" readingOrder="0"/>
    </dxf>
  </dxfs>
  <tableStyles count="0" defaultTableStyle="TableStyleMedium2" defaultPivotStyle="PivotStyleLight16"/>
  <colors>
    <mruColors>
      <color rgb="FFF9D3B9"/>
      <color rgb="FFCC3399"/>
      <color rgb="FFCC0000"/>
      <color rgb="FFE820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[Job_Application_Tracker.xlsm]Pivot_data!PivotTable7</c:name>
    <c:fmtId val="3"/>
  </c:pivotSource>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r>
              <a:rPr lang="en-IN" sz="1800" b="1">
                <a:solidFill>
                  <a:schemeClr val="tx1">
                    <a:lumMod val="85000"/>
                    <a:lumOff val="15000"/>
                  </a:schemeClr>
                </a:solidFill>
                <a:latin typeface="Times New Roman" panose="02020603050405020304" pitchFamily="18" charset="0"/>
                <a:cs typeface="Times New Roman" panose="02020603050405020304" pitchFamily="18" charset="0"/>
              </a:rPr>
              <a:t>Full vs Part-Time Employees</a:t>
            </a:r>
          </a:p>
        </c:rich>
      </c:tx>
      <c:layout>
        <c:manualLayout>
          <c:xMode val="edge"/>
          <c:yMode val="edge"/>
          <c:x val="0.22914548460311143"/>
          <c:y val="3.8506807147796925E-3"/>
        </c:manualLayout>
      </c:layout>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Times New Roman" panose="02020603050405020304" pitchFamily="18" charset="0"/>
              <a:ea typeface="+mn-ea"/>
              <a:cs typeface="Times New Roman" panose="02020603050405020304" pitchFamily="18" charset="0"/>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1">
              <a:lumMod val="65000"/>
              <a:lumOff val="3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Pivot_data!$F$3</c:f>
              <c:strCache>
                <c:ptCount val="1"/>
                <c:pt idx="0">
                  <c:v>Total</c:v>
                </c:pt>
              </c:strCache>
            </c:strRef>
          </c:tx>
          <c:spPr>
            <a:solidFill>
              <a:schemeClr val="tx1">
                <a:lumMod val="65000"/>
                <a:lumOff val="35000"/>
              </a:schemeClr>
            </a:solidFill>
            <a:ln>
              <a:noFill/>
            </a:ln>
            <a:effectLst/>
          </c:spPr>
          <c:invertIfNegative val="0"/>
          <c:cat>
            <c:strRef>
              <c:f>Pivot_data!$E$4:$E$6</c:f>
              <c:strCache>
                <c:ptCount val="2"/>
                <c:pt idx="0">
                  <c:v>F</c:v>
                </c:pt>
                <c:pt idx="1">
                  <c:v>P</c:v>
                </c:pt>
              </c:strCache>
            </c:strRef>
          </c:cat>
          <c:val>
            <c:numRef>
              <c:f>Pivot_data!$F$4:$F$6</c:f>
              <c:numCache>
                <c:formatCode>General</c:formatCode>
                <c:ptCount val="2"/>
                <c:pt idx="0">
                  <c:v>17</c:v>
                </c:pt>
                <c:pt idx="1">
                  <c:v>18</c:v>
                </c:pt>
              </c:numCache>
            </c:numRef>
          </c:val>
          <c:extLst>
            <c:ext xmlns:c16="http://schemas.microsoft.com/office/drawing/2014/chart" uri="{C3380CC4-5D6E-409C-BE32-E72D297353CC}">
              <c16:uniqueId val="{00000000-2705-423E-8019-2361C50AED0D}"/>
            </c:ext>
          </c:extLst>
        </c:ser>
        <c:dLbls>
          <c:showLegendKey val="0"/>
          <c:showVal val="0"/>
          <c:showCatName val="0"/>
          <c:showSerName val="0"/>
          <c:showPercent val="0"/>
          <c:showBubbleSize val="0"/>
        </c:dLbls>
        <c:gapWidth val="150"/>
        <c:axId val="2004925856"/>
        <c:axId val="649338896"/>
      </c:barChart>
      <c:catAx>
        <c:axId val="200492585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9338896"/>
        <c:crosses val="autoZero"/>
        <c:auto val="1"/>
        <c:lblAlgn val="ctr"/>
        <c:lblOffset val="100"/>
        <c:noMultiLvlLbl val="0"/>
      </c:catAx>
      <c:valAx>
        <c:axId val="6493388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4925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[Job_Application_Tracker.xlsm]Pivot_data!PivotTable5</c:name>
    <c:fmtId val="2"/>
  </c:pivotSource>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US" sz="1800" b="1">
                <a:solidFill>
                  <a:schemeClr val="tx1">
                    <a:lumMod val="85000"/>
                    <a:lumOff val="15000"/>
                  </a:schemeClr>
                </a:solidFill>
                <a:latin typeface="Times New Roman" panose="02020603050405020304" pitchFamily="18" charset="0"/>
                <a:cs typeface="Times New Roman" panose="02020603050405020304" pitchFamily="18" charset="0"/>
              </a:rPr>
              <a:t>Employees by Department</a:t>
            </a:r>
          </a:p>
          <a:p>
            <a:pPr>
              <a:defRPr sz="1800"/>
            </a:pPr>
            <a:endParaRPr lang="en-US" sz="1800" b="1">
              <a:solidFill>
                <a:schemeClr val="tx1">
                  <a:lumMod val="85000"/>
                  <a:lumOff val="15000"/>
                </a:schemeClr>
              </a:solidFill>
              <a:latin typeface="Times New Roman" panose="02020603050405020304" pitchFamily="18" charset="0"/>
              <a:cs typeface="Times New Roman" panose="02020603050405020304" pitchFamily="18" charset="0"/>
            </a:endParaRPr>
          </a:p>
        </c:rich>
      </c:tx>
      <c:layout>
        <c:manualLayout>
          <c:xMode val="edge"/>
          <c:yMode val="edge"/>
          <c:x val="0.25296598797699626"/>
          <c:y val="3.9301356849571496E-3"/>
        </c:manualLayout>
      </c:layout>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1">
              <a:lumMod val="65000"/>
              <a:lumOff val="3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Pivot_data!$B$3</c:f>
              <c:strCache>
                <c:ptCount val="1"/>
                <c:pt idx="0">
                  <c:v>Total</c:v>
                </c:pt>
              </c:strCache>
            </c:strRef>
          </c:tx>
          <c:spPr>
            <a:solidFill>
              <a:schemeClr val="tx1">
                <a:lumMod val="65000"/>
                <a:lumOff val="35000"/>
              </a:schemeClr>
            </a:solidFill>
            <a:ln>
              <a:noFill/>
            </a:ln>
            <a:effectLst/>
          </c:spPr>
          <c:invertIfNegative val="0"/>
          <c:cat>
            <c:strRef>
              <c:f>Pivot_data!$A$4:$A$11</c:f>
              <c:strCache>
                <c:ptCount val="7"/>
                <c:pt idx="0">
                  <c:v>Accounting</c:v>
                </c:pt>
                <c:pt idx="1">
                  <c:v>Customer Service</c:v>
                </c:pt>
                <c:pt idx="2">
                  <c:v>Executive</c:v>
                </c:pt>
                <c:pt idx="3">
                  <c:v>Facilities</c:v>
                </c:pt>
                <c:pt idx="4">
                  <c:v>Human Resources</c:v>
                </c:pt>
                <c:pt idx="5">
                  <c:v>IT</c:v>
                </c:pt>
                <c:pt idx="6">
                  <c:v>Sales</c:v>
                </c:pt>
              </c:strCache>
            </c:strRef>
          </c:cat>
          <c:val>
            <c:numRef>
              <c:f>Pivot_data!$B$4:$B$11</c:f>
              <c:numCache>
                <c:formatCode>General</c:formatCode>
                <c:ptCount val="7"/>
                <c:pt idx="0">
                  <c:v>4</c:v>
                </c:pt>
                <c:pt idx="1">
                  <c:v>5</c:v>
                </c:pt>
                <c:pt idx="2">
                  <c:v>2</c:v>
                </c:pt>
                <c:pt idx="3">
                  <c:v>1</c:v>
                </c:pt>
                <c:pt idx="4">
                  <c:v>3</c:v>
                </c:pt>
                <c:pt idx="5">
                  <c:v>5</c:v>
                </c:pt>
                <c:pt idx="6">
                  <c:v>15</c:v>
                </c:pt>
              </c:numCache>
            </c:numRef>
          </c:val>
          <c:extLst>
            <c:ext xmlns:c16="http://schemas.microsoft.com/office/drawing/2014/chart" uri="{C3380CC4-5D6E-409C-BE32-E72D297353CC}">
              <c16:uniqueId val="{00000000-95F9-46E3-800A-2B9FE6139CDA}"/>
            </c:ext>
          </c:extLst>
        </c:ser>
        <c:dLbls>
          <c:showLegendKey val="0"/>
          <c:showVal val="0"/>
          <c:showCatName val="0"/>
          <c:showSerName val="0"/>
          <c:showPercent val="0"/>
          <c:showBubbleSize val="0"/>
        </c:dLbls>
        <c:gapWidth val="223"/>
        <c:axId val="858543200"/>
        <c:axId val="858546080"/>
      </c:barChart>
      <c:catAx>
        <c:axId val="8585432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85000"/>
                    <a:lumOff val="15000"/>
                  </a:schemeClr>
                </a:solidFill>
                <a:latin typeface="+mn-lt"/>
                <a:ea typeface="+mn-ea"/>
                <a:cs typeface="+mn-cs"/>
              </a:defRPr>
            </a:pPr>
            <a:endParaRPr lang="en-US"/>
          </a:p>
        </c:txPr>
        <c:crossAx val="858546080"/>
        <c:crosses val="autoZero"/>
        <c:auto val="1"/>
        <c:lblAlgn val="ctr"/>
        <c:lblOffset val="100"/>
        <c:noMultiLvlLbl val="0"/>
      </c:catAx>
      <c:valAx>
        <c:axId val="858546080"/>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85000"/>
                    <a:lumOff val="15000"/>
                  </a:schemeClr>
                </a:solidFill>
                <a:latin typeface="+mn-lt"/>
                <a:ea typeface="+mn-ea"/>
                <a:cs typeface="+mn-cs"/>
              </a:defRPr>
            </a:pPr>
            <a:endParaRPr lang="en-US"/>
          </a:p>
        </c:txPr>
        <c:crossAx val="8585432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17</xdr:col>
      <xdr:colOff>302147</xdr:colOff>
      <xdr:row>9</xdr:row>
      <xdr:rowOff>188089</xdr:rowOff>
    </xdr:from>
    <xdr:to>
      <xdr:col>20</xdr:col>
      <xdr:colOff>286232</xdr:colOff>
      <xdr:row>22</xdr:row>
      <xdr:rowOff>47625</xdr:rowOff>
    </xdr:to>
    <mc:AlternateContent xmlns:mc="http://schemas.openxmlformats.org/markup-compatibility/2006" xmlns:sle15="http://schemas.microsoft.com/office/drawing/2012/slicer">
      <mc:Choice Requires="sle15">
        <xdr:graphicFrame macro="">
          <xdr:nvGraphicFramePr>
            <xdr:cNvPr id="5" name="Department-wise Total">
              <a:extLst>
                <a:ext uri="{FF2B5EF4-FFF2-40B4-BE49-F238E27FC236}">
                  <a16:creationId xmlns:a16="http://schemas.microsoft.com/office/drawing/2014/main" id="{A23E76B7-E5D7-71BF-AB0F-B1C8A57D9C17}"/>
                </a:ext>
              </a:extLst>
            </xdr:cNvPr>
            <xdr:cNvGraphicFramePr/>
          </xdr:nvGraphicFramePr>
          <xdr:xfrm>
            <a:off x="0" y="0"/>
            <a:ext cx="0" cy="0"/>
          </xdr:xfrm>
          <a:graphic>
            <a:graphicData uri="http://schemas.microsoft.com/office/drawing/2010/slicer">
              <sle:slicer xmlns:sle="http://schemas.microsoft.com/office/drawing/2010/slicer" name="Department-wise Total"/>
            </a:graphicData>
          </a:graphic>
        </xdr:graphicFrame>
      </mc:Choice>
      <mc:Fallback xmlns="">
        <xdr:sp macro="" textlink="">
          <xdr:nvSpPr>
            <xdr:cNvPr id="0" name=""/>
            <xdr:cNvSpPr>
              <a:spLocks noTextEdit="1"/>
            </xdr:cNvSpPr>
          </xdr:nvSpPr>
          <xdr:spPr>
            <a:xfrm>
              <a:off x="17857084" y="200869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9525</xdr:colOff>
      <xdr:row>0</xdr:row>
      <xdr:rowOff>9525</xdr:rowOff>
    </xdr:from>
    <xdr:to>
      <xdr:col>21</xdr:col>
      <xdr:colOff>9525</xdr:colOff>
      <xdr:row>27</xdr:row>
      <xdr:rowOff>76200</xdr:rowOff>
    </xdr:to>
    <xdr:sp macro="" textlink="">
      <xdr:nvSpPr>
        <xdr:cNvPr id="7" name="Rectangle 6">
          <a:extLst>
            <a:ext uri="{FF2B5EF4-FFF2-40B4-BE49-F238E27FC236}">
              <a16:creationId xmlns:a16="http://schemas.microsoft.com/office/drawing/2014/main" id="{9C1EA863-2B51-B7D6-9610-671450970C08}"/>
            </a:ext>
          </a:extLst>
        </xdr:cNvPr>
        <xdr:cNvSpPr/>
      </xdr:nvSpPr>
      <xdr:spPr>
        <a:xfrm>
          <a:off x="9525" y="9525"/>
          <a:ext cx="12801600" cy="5210175"/>
        </a:xfrm>
        <a:prstGeom prst="rect">
          <a:avLst/>
        </a:prstGeom>
        <a:solidFill>
          <a:schemeClr val="tx1">
            <a:lumMod val="75000"/>
            <a:lumOff val="2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absolute">
    <xdr:from>
      <xdr:col>0</xdr:col>
      <xdr:colOff>9525</xdr:colOff>
      <xdr:row>0</xdr:row>
      <xdr:rowOff>30861</xdr:rowOff>
    </xdr:from>
    <xdr:to>
      <xdr:col>21</xdr:col>
      <xdr:colOff>52460</xdr:colOff>
      <xdr:row>2</xdr:row>
      <xdr:rowOff>47625</xdr:rowOff>
    </xdr:to>
    <xdr:sp macro="" textlink="">
      <xdr:nvSpPr>
        <xdr:cNvPr id="12" name="Rectangle: Rounded Corners 11">
          <a:extLst>
            <a:ext uri="{FF2B5EF4-FFF2-40B4-BE49-F238E27FC236}">
              <a16:creationId xmlns:a16="http://schemas.microsoft.com/office/drawing/2014/main" id="{686CE76E-0C6F-756F-310B-925CAD9132CF}"/>
            </a:ext>
          </a:extLst>
        </xdr:cNvPr>
        <xdr:cNvSpPr/>
      </xdr:nvSpPr>
      <xdr:spPr>
        <a:xfrm>
          <a:off x="9525" y="30861"/>
          <a:ext cx="12844535" cy="397764"/>
        </a:xfrm>
        <a:prstGeom prst="roundRect">
          <a:avLst/>
        </a:prstGeom>
        <a:solidFill>
          <a:schemeClr val="accent2">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a:solidFill>
                <a:schemeClr val="tx1">
                  <a:lumMod val="85000"/>
                  <a:lumOff val="15000"/>
                </a:schemeClr>
              </a:solidFill>
              <a:latin typeface="Times New Roman" panose="02020603050405020304" pitchFamily="18" charset="0"/>
              <a:cs typeface="Times New Roman" panose="02020603050405020304" pitchFamily="18" charset="0"/>
            </a:rPr>
            <a:t>HR Employee Overview</a:t>
          </a:r>
        </a:p>
        <a:p>
          <a:pPr algn="ctr"/>
          <a:endParaRPr lang="en-IN" sz="3600" b="1">
            <a:solidFill>
              <a:schemeClr val="tx1"/>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57150</xdr:colOff>
      <xdr:row>2</xdr:row>
      <xdr:rowOff>135470</xdr:rowOff>
    </xdr:from>
    <xdr:to>
      <xdr:col>3</xdr:col>
      <xdr:colOff>552449</xdr:colOff>
      <xdr:row>6</xdr:row>
      <xdr:rowOff>0</xdr:rowOff>
    </xdr:to>
    <xdr:grpSp>
      <xdr:nvGrpSpPr>
        <xdr:cNvPr id="18" name="Group 17">
          <a:extLst>
            <a:ext uri="{FF2B5EF4-FFF2-40B4-BE49-F238E27FC236}">
              <a16:creationId xmlns:a16="http://schemas.microsoft.com/office/drawing/2014/main" id="{82E5DB05-4333-DB3C-7C88-5AF44940046F}"/>
            </a:ext>
          </a:extLst>
        </xdr:cNvPr>
        <xdr:cNvGrpSpPr/>
      </xdr:nvGrpSpPr>
      <xdr:grpSpPr>
        <a:xfrm>
          <a:off x="57150" y="516470"/>
          <a:ext cx="2324099" cy="626530"/>
          <a:chOff x="40851" y="796245"/>
          <a:chExt cx="2491892" cy="860092"/>
        </a:xfrm>
      </xdr:grpSpPr>
      <xdr:sp macro="" textlink="">
        <xdr:nvSpPr>
          <xdr:cNvPr id="4" name="Rectangle: Rounded Corners 3">
            <a:extLst>
              <a:ext uri="{FF2B5EF4-FFF2-40B4-BE49-F238E27FC236}">
                <a16:creationId xmlns:a16="http://schemas.microsoft.com/office/drawing/2014/main" id="{506E3895-1BB7-8F06-6B92-39439DFA9980}"/>
              </a:ext>
            </a:extLst>
          </xdr:cNvPr>
          <xdr:cNvSpPr/>
        </xdr:nvSpPr>
        <xdr:spPr>
          <a:xfrm>
            <a:off x="40851" y="796245"/>
            <a:ext cx="2457450" cy="778931"/>
          </a:xfrm>
          <a:prstGeom prst="roundRect">
            <a:avLst/>
          </a:prstGeom>
          <a:solidFill>
            <a:schemeClr val="accent2">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a:solidFill>
                  <a:schemeClr val="bg1">
                    <a:lumMod val="50000"/>
                  </a:schemeClr>
                </a:solidFill>
                <a:latin typeface="Times New Roman" panose="02020603050405020304" pitchFamily="18" charset="0"/>
                <a:cs typeface="Times New Roman" panose="02020603050405020304" pitchFamily="18" charset="0"/>
              </a:rPr>
              <a:t>Total Employees </a:t>
            </a:r>
            <a:endParaRPr lang="en-IN" sz="1400">
              <a:solidFill>
                <a:schemeClr val="tx1"/>
              </a:solidFill>
              <a:latin typeface="Times New Roman" panose="02020603050405020304" pitchFamily="18" charset="0"/>
              <a:cs typeface="Times New Roman" panose="02020603050405020304" pitchFamily="18" charset="0"/>
            </a:endParaRPr>
          </a:p>
        </xdr:txBody>
      </xdr:sp>
      <xdr:sp macro="" textlink="">
        <xdr:nvSpPr>
          <xdr:cNvPr id="14" name="TextBox 13">
            <a:extLst>
              <a:ext uri="{FF2B5EF4-FFF2-40B4-BE49-F238E27FC236}">
                <a16:creationId xmlns:a16="http://schemas.microsoft.com/office/drawing/2014/main" id="{7E9FCB80-5D44-7BB4-4F50-316133E1E5B2}"/>
              </a:ext>
            </a:extLst>
          </xdr:cNvPr>
          <xdr:cNvSpPr txBox="1"/>
        </xdr:nvSpPr>
        <xdr:spPr>
          <a:xfrm>
            <a:off x="1992350" y="962801"/>
            <a:ext cx="540393" cy="6935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b">
            <a:spAutoFit/>
          </a:bodyPr>
          <a:lstStyle/>
          <a:p>
            <a:pPr algn="r"/>
            <a:r>
              <a:rPr lang="en-IN" sz="2800">
                <a:latin typeface="Times New Roman" panose="02020603050405020304" pitchFamily="18" charset="0"/>
                <a:cs typeface="Times New Roman" panose="02020603050405020304" pitchFamily="18" charset="0"/>
              </a:rPr>
              <a:t>35</a:t>
            </a:r>
            <a:endParaRPr lang="en-IN" sz="1800">
              <a:latin typeface="Times New Roman" panose="02020603050405020304" pitchFamily="18" charset="0"/>
              <a:cs typeface="Times New Roman" panose="02020603050405020304" pitchFamily="18" charset="0"/>
            </a:endParaRPr>
          </a:p>
        </xdr:txBody>
      </xdr:sp>
    </xdr:grpSp>
    <xdr:clientData/>
  </xdr:twoCellAnchor>
  <xdr:twoCellAnchor>
    <xdr:from>
      <xdr:col>4</xdr:col>
      <xdr:colOff>159791</xdr:colOff>
      <xdr:row>2</xdr:row>
      <xdr:rowOff>121011</xdr:rowOff>
    </xdr:from>
    <xdr:to>
      <xdr:col>8</xdr:col>
      <xdr:colOff>282350</xdr:colOff>
      <xdr:row>5</xdr:row>
      <xdr:rowOff>145767</xdr:rowOff>
    </xdr:to>
    <xdr:grpSp>
      <xdr:nvGrpSpPr>
        <xdr:cNvPr id="44" name="Group 43">
          <a:extLst>
            <a:ext uri="{FF2B5EF4-FFF2-40B4-BE49-F238E27FC236}">
              <a16:creationId xmlns:a16="http://schemas.microsoft.com/office/drawing/2014/main" id="{7C7B3BC8-6337-18AD-5B84-521393C3457D}"/>
            </a:ext>
          </a:extLst>
        </xdr:cNvPr>
        <xdr:cNvGrpSpPr/>
      </xdr:nvGrpSpPr>
      <xdr:grpSpPr>
        <a:xfrm>
          <a:off x="2598191" y="502011"/>
          <a:ext cx="2560959" cy="596256"/>
          <a:chOff x="2483891" y="568686"/>
          <a:chExt cx="2560959" cy="596256"/>
        </a:xfrm>
      </xdr:grpSpPr>
      <xdr:sp macro="" textlink="">
        <xdr:nvSpPr>
          <xdr:cNvPr id="5" name="Rectangle: Rounded Corners 4">
            <a:extLst>
              <a:ext uri="{FF2B5EF4-FFF2-40B4-BE49-F238E27FC236}">
                <a16:creationId xmlns:a16="http://schemas.microsoft.com/office/drawing/2014/main" id="{ACC98528-1BCC-45FB-AF28-3074F8A40BE4}"/>
              </a:ext>
            </a:extLst>
          </xdr:cNvPr>
          <xdr:cNvSpPr/>
        </xdr:nvSpPr>
        <xdr:spPr>
          <a:xfrm>
            <a:off x="2483891" y="568686"/>
            <a:ext cx="2560959" cy="554158"/>
          </a:xfrm>
          <a:prstGeom prst="roundRect">
            <a:avLst/>
          </a:prstGeom>
          <a:solidFill>
            <a:schemeClr val="accent2">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a:solidFill>
                  <a:schemeClr val="bg1">
                    <a:lumMod val="50000"/>
                  </a:schemeClr>
                </a:solidFill>
                <a:latin typeface="Times New Roman" panose="02020603050405020304" pitchFamily="18" charset="0"/>
                <a:cs typeface="Times New Roman" panose="02020603050405020304" pitchFamily="18" charset="0"/>
              </a:rPr>
              <a:t>Full Time Employees (F)</a:t>
            </a:r>
          </a:p>
          <a:p>
            <a:pPr algn="r"/>
            <a:endParaRPr lang="en-IN" sz="3600">
              <a:solidFill>
                <a:schemeClr val="tx1"/>
              </a:solidFill>
              <a:latin typeface="Times New Roman" panose="02020603050405020304" pitchFamily="18" charset="0"/>
              <a:cs typeface="Times New Roman" panose="02020603050405020304" pitchFamily="18" charset="0"/>
            </a:endParaRPr>
          </a:p>
        </xdr:txBody>
      </xdr:sp>
      <xdr:sp macro="" textlink="">
        <xdr:nvSpPr>
          <xdr:cNvPr id="15" name="TextBox 14">
            <a:extLst>
              <a:ext uri="{FF2B5EF4-FFF2-40B4-BE49-F238E27FC236}">
                <a16:creationId xmlns:a16="http://schemas.microsoft.com/office/drawing/2014/main" id="{0A236DD0-EE81-A654-14FC-7966DFFEB826}"/>
              </a:ext>
            </a:extLst>
          </xdr:cNvPr>
          <xdr:cNvSpPr txBox="1"/>
        </xdr:nvSpPr>
        <xdr:spPr>
          <a:xfrm>
            <a:off x="4477854" y="659739"/>
            <a:ext cx="543739" cy="50520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2800">
                <a:latin typeface="Times New Roman" panose="02020603050405020304" pitchFamily="18" charset="0"/>
                <a:cs typeface="Times New Roman" panose="02020603050405020304" pitchFamily="18" charset="0"/>
              </a:rPr>
              <a:t>17</a:t>
            </a:r>
          </a:p>
        </xdr:txBody>
      </xdr:sp>
    </xdr:grpSp>
    <xdr:clientData/>
  </xdr:twoCellAnchor>
  <xdr:twoCellAnchor editAs="absolute">
    <xdr:from>
      <xdr:col>13</xdr:col>
      <xdr:colOff>257175</xdr:colOff>
      <xdr:row>2</xdr:row>
      <xdr:rowOff>142875</xdr:rowOff>
    </xdr:from>
    <xdr:to>
      <xdr:col>17</xdr:col>
      <xdr:colOff>19050</xdr:colOff>
      <xdr:row>8</xdr:row>
      <xdr:rowOff>22976</xdr:rowOff>
    </xdr:to>
    <xdr:grpSp>
      <xdr:nvGrpSpPr>
        <xdr:cNvPr id="32" name="Group 31">
          <a:extLst>
            <a:ext uri="{FF2B5EF4-FFF2-40B4-BE49-F238E27FC236}">
              <a16:creationId xmlns:a16="http://schemas.microsoft.com/office/drawing/2014/main" id="{46E633AF-3C46-291B-FCF4-E5657D1FC8CC}"/>
            </a:ext>
          </a:extLst>
        </xdr:cNvPr>
        <xdr:cNvGrpSpPr/>
      </xdr:nvGrpSpPr>
      <xdr:grpSpPr>
        <a:xfrm>
          <a:off x="8181975" y="523875"/>
          <a:ext cx="2200275" cy="1023101"/>
          <a:chOff x="8829675" y="554539"/>
          <a:chExt cx="2390775" cy="1049587"/>
        </a:xfrm>
      </xdr:grpSpPr>
      <xdr:sp macro="" textlink="">
        <xdr:nvSpPr>
          <xdr:cNvPr id="11" name="Rectangle: Rounded Corners 10">
            <a:extLst>
              <a:ext uri="{FF2B5EF4-FFF2-40B4-BE49-F238E27FC236}">
                <a16:creationId xmlns:a16="http://schemas.microsoft.com/office/drawing/2014/main" id="{C04F5A1F-8218-44E9-8E66-FAE02B62F8CF}"/>
              </a:ext>
            </a:extLst>
          </xdr:cNvPr>
          <xdr:cNvSpPr/>
        </xdr:nvSpPr>
        <xdr:spPr>
          <a:xfrm>
            <a:off x="8829675" y="554539"/>
            <a:ext cx="2375566" cy="591159"/>
          </a:xfrm>
          <a:prstGeom prst="roundRect">
            <a:avLst/>
          </a:prstGeom>
          <a:solidFill>
            <a:schemeClr val="accent2">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a:solidFill>
                  <a:schemeClr val="bg1">
                    <a:lumMod val="50000"/>
                  </a:schemeClr>
                </a:solidFill>
                <a:latin typeface="Times New Roman" panose="02020603050405020304" pitchFamily="18" charset="0"/>
                <a:cs typeface="Times New Roman" panose="02020603050405020304" pitchFamily="18" charset="0"/>
              </a:rPr>
              <a:t>Full-Time</a:t>
            </a:r>
            <a:r>
              <a:rPr lang="en-IN" sz="1400" baseline="0">
                <a:solidFill>
                  <a:schemeClr val="bg1">
                    <a:lumMod val="50000"/>
                  </a:schemeClr>
                </a:solidFill>
                <a:latin typeface="Times New Roman" panose="02020603050405020304" pitchFamily="18" charset="0"/>
                <a:cs typeface="Times New Roman" panose="02020603050405020304" pitchFamily="18" charset="0"/>
              </a:rPr>
              <a:t> %</a:t>
            </a:r>
          </a:p>
          <a:p>
            <a:pPr algn="l"/>
            <a:endParaRPr lang="en-IN" sz="1400" baseline="0">
              <a:solidFill>
                <a:schemeClr val="bg1">
                  <a:lumMod val="50000"/>
                </a:schemeClr>
              </a:solidFill>
              <a:latin typeface="Times New Roman" panose="02020603050405020304" pitchFamily="18" charset="0"/>
              <a:cs typeface="Times New Roman" panose="02020603050405020304" pitchFamily="18" charset="0"/>
            </a:endParaRPr>
          </a:p>
        </xdr:txBody>
      </xdr:sp>
      <xdr:sp macro="" textlink="">
        <xdr:nvSpPr>
          <xdr:cNvPr id="16" name="TextBox 15">
            <a:extLst>
              <a:ext uri="{FF2B5EF4-FFF2-40B4-BE49-F238E27FC236}">
                <a16:creationId xmlns:a16="http://schemas.microsoft.com/office/drawing/2014/main" id="{85F4F392-F6C7-F6FC-A8F2-45780056CFA9}"/>
              </a:ext>
            </a:extLst>
          </xdr:cNvPr>
          <xdr:cNvSpPr txBox="1"/>
        </xdr:nvSpPr>
        <xdr:spPr>
          <a:xfrm>
            <a:off x="10139310" y="686054"/>
            <a:ext cx="1081140" cy="9180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2800">
                <a:latin typeface="Times New Roman" panose="02020603050405020304" pitchFamily="18" charset="0"/>
                <a:cs typeface="Times New Roman" panose="02020603050405020304" pitchFamily="18" charset="0"/>
              </a:rPr>
              <a:t>48.5%</a:t>
            </a:r>
          </a:p>
          <a:p>
            <a:endParaRPr lang="en-IN" sz="2800">
              <a:latin typeface="Times New Roman" panose="02020603050405020304" pitchFamily="18" charset="0"/>
              <a:cs typeface="Times New Roman" panose="02020603050405020304" pitchFamily="18" charset="0"/>
            </a:endParaRPr>
          </a:p>
        </xdr:txBody>
      </xdr:sp>
    </xdr:grpSp>
    <xdr:clientData/>
  </xdr:twoCellAnchor>
  <xdr:twoCellAnchor editAs="absolute">
    <xdr:from>
      <xdr:col>8</xdr:col>
      <xdr:colOff>487163</xdr:colOff>
      <xdr:row>2</xdr:row>
      <xdr:rowOff>114300</xdr:rowOff>
    </xdr:from>
    <xdr:to>
      <xdr:col>13</xdr:col>
      <xdr:colOff>190500</xdr:colOff>
      <xdr:row>6</xdr:row>
      <xdr:rowOff>0</xdr:rowOff>
    </xdr:to>
    <xdr:grpSp>
      <xdr:nvGrpSpPr>
        <xdr:cNvPr id="21" name="Group 20">
          <a:extLst>
            <a:ext uri="{FF2B5EF4-FFF2-40B4-BE49-F238E27FC236}">
              <a16:creationId xmlns:a16="http://schemas.microsoft.com/office/drawing/2014/main" id="{4626F361-ECB4-98B2-2C8A-6C5D54800EA0}"/>
            </a:ext>
          </a:extLst>
        </xdr:cNvPr>
        <xdr:cNvGrpSpPr/>
      </xdr:nvGrpSpPr>
      <xdr:grpSpPr>
        <a:xfrm>
          <a:off x="5363963" y="495300"/>
          <a:ext cx="2751337" cy="647700"/>
          <a:chOff x="9764514" y="762000"/>
          <a:chExt cx="2472124" cy="877620"/>
        </a:xfrm>
      </xdr:grpSpPr>
      <xdr:sp macro="" textlink="">
        <xdr:nvSpPr>
          <xdr:cNvPr id="6" name="Rectangle: Rounded Corners 5">
            <a:extLst>
              <a:ext uri="{FF2B5EF4-FFF2-40B4-BE49-F238E27FC236}">
                <a16:creationId xmlns:a16="http://schemas.microsoft.com/office/drawing/2014/main" id="{1A2ECE20-9DF3-448C-8795-EBF8D458ED26}"/>
              </a:ext>
            </a:extLst>
          </xdr:cNvPr>
          <xdr:cNvSpPr/>
        </xdr:nvSpPr>
        <xdr:spPr>
          <a:xfrm>
            <a:off x="9764514" y="762000"/>
            <a:ext cx="2437012" cy="781050"/>
          </a:xfrm>
          <a:prstGeom prst="roundRect">
            <a:avLst/>
          </a:prstGeom>
          <a:solidFill>
            <a:schemeClr val="accent2">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a:solidFill>
                  <a:schemeClr val="bg1">
                    <a:lumMod val="50000"/>
                  </a:schemeClr>
                </a:solidFill>
                <a:latin typeface="Times New Roman" panose="02020603050405020304" pitchFamily="18" charset="0"/>
                <a:cs typeface="Times New Roman" panose="02020603050405020304" pitchFamily="18" charset="0"/>
              </a:rPr>
              <a:t>Part Time Employees (P)</a:t>
            </a:r>
          </a:p>
          <a:p>
            <a:pPr algn="r"/>
            <a:r>
              <a:rPr lang="en-IN" sz="3600">
                <a:solidFill>
                  <a:schemeClr val="tx1"/>
                </a:solidFill>
                <a:latin typeface="Times New Roman" panose="02020603050405020304" pitchFamily="18" charset="0"/>
                <a:cs typeface="Times New Roman" panose="02020603050405020304" pitchFamily="18" charset="0"/>
              </a:rPr>
              <a:t> </a:t>
            </a:r>
          </a:p>
        </xdr:txBody>
      </xdr:sp>
      <xdr:sp macro="" textlink="">
        <xdr:nvSpPr>
          <xdr:cNvPr id="17" name="TextBox 16">
            <a:extLst>
              <a:ext uri="{FF2B5EF4-FFF2-40B4-BE49-F238E27FC236}">
                <a16:creationId xmlns:a16="http://schemas.microsoft.com/office/drawing/2014/main" id="{1055DA63-5413-33A1-FA9F-52D0054F5E98}"/>
              </a:ext>
            </a:extLst>
          </xdr:cNvPr>
          <xdr:cNvSpPr txBox="1"/>
        </xdr:nvSpPr>
        <xdr:spPr>
          <a:xfrm>
            <a:off x="11687801" y="994863"/>
            <a:ext cx="548837" cy="64475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2800">
                <a:latin typeface="Times New Roman" panose="02020603050405020304" pitchFamily="18" charset="0"/>
                <a:cs typeface="Times New Roman" panose="02020603050405020304" pitchFamily="18" charset="0"/>
              </a:rPr>
              <a:t>18</a:t>
            </a:r>
          </a:p>
        </xdr:txBody>
      </xdr:sp>
    </xdr:grpSp>
    <xdr:clientData/>
  </xdr:twoCellAnchor>
  <xdr:twoCellAnchor>
    <xdr:from>
      <xdr:col>0</xdr:col>
      <xdr:colOff>0</xdr:colOff>
      <xdr:row>8</xdr:row>
      <xdr:rowOff>0</xdr:rowOff>
    </xdr:from>
    <xdr:to>
      <xdr:col>8</xdr:col>
      <xdr:colOff>247650</xdr:colOff>
      <xdr:row>23</xdr:row>
      <xdr:rowOff>9525</xdr:rowOff>
    </xdr:to>
    <xdr:grpSp>
      <xdr:nvGrpSpPr>
        <xdr:cNvPr id="31" name="Group 30">
          <a:extLst>
            <a:ext uri="{FF2B5EF4-FFF2-40B4-BE49-F238E27FC236}">
              <a16:creationId xmlns:a16="http://schemas.microsoft.com/office/drawing/2014/main" id="{EED959C2-D8DA-5EBF-4035-35E6A656D7E3}"/>
            </a:ext>
          </a:extLst>
        </xdr:cNvPr>
        <xdr:cNvGrpSpPr/>
      </xdr:nvGrpSpPr>
      <xdr:grpSpPr>
        <a:xfrm>
          <a:off x="0" y="1524000"/>
          <a:ext cx="5124450" cy="2867025"/>
          <a:chOff x="4248149" y="1485900"/>
          <a:chExt cx="3810001" cy="2628900"/>
        </a:xfrm>
      </xdr:grpSpPr>
      <xdr:sp macro="" textlink="">
        <xdr:nvSpPr>
          <xdr:cNvPr id="23" name="Rectangle: Rounded Corners 22">
            <a:extLst>
              <a:ext uri="{FF2B5EF4-FFF2-40B4-BE49-F238E27FC236}">
                <a16:creationId xmlns:a16="http://schemas.microsoft.com/office/drawing/2014/main" id="{2F8C5D05-BB08-EE87-FA85-890FD8F5BA5C}"/>
              </a:ext>
            </a:extLst>
          </xdr:cNvPr>
          <xdr:cNvSpPr/>
        </xdr:nvSpPr>
        <xdr:spPr>
          <a:xfrm>
            <a:off x="4248149" y="1485900"/>
            <a:ext cx="3810001" cy="2628900"/>
          </a:xfrm>
          <a:prstGeom prst="roundRect">
            <a:avLst/>
          </a:prstGeom>
          <a:solidFill>
            <a:schemeClr val="accent2">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28" name="Chart 4">
            <a:extLst>
              <a:ext uri="{FF2B5EF4-FFF2-40B4-BE49-F238E27FC236}">
                <a16:creationId xmlns:a16="http://schemas.microsoft.com/office/drawing/2014/main" id="{C0838D06-95F7-5657-3F5B-FA70E475CA9F}"/>
              </a:ext>
            </a:extLst>
          </xdr:cNvPr>
          <xdr:cNvGraphicFramePr/>
        </xdr:nvGraphicFramePr>
        <xdr:xfrm>
          <a:off x="4455160" y="1629581"/>
          <a:ext cx="3352800" cy="2357438"/>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8</xdr:col>
      <xdr:colOff>485775</xdr:colOff>
      <xdr:row>8</xdr:row>
      <xdr:rowOff>0</xdr:rowOff>
    </xdr:from>
    <xdr:to>
      <xdr:col>17</xdr:col>
      <xdr:colOff>28575</xdr:colOff>
      <xdr:row>22</xdr:row>
      <xdr:rowOff>171450</xdr:rowOff>
    </xdr:to>
    <xdr:grpSp>
      <xdr:nvGrpSpPr>
        <xdr:cNvPr id="39" name="Group 38">
          <a:extLst>
            <a:ext uri="{FF2B5EF4-FFF2-40B4-BE49-F238E27FC236}">
              <a16:creationId xmlns:a16="http://schemas.microsoft.com/office/drawing/2014/main" id="{011003BA-D447-CD23-520C-A883C043AE39}"/>
            </a:ext>
          </a:extLst>
        </xdr:cNvPr>
        <xdr:cNvGrpSpPr/>
      </xdr:nvGrpSpPr>
      <xdr:grpSpPr>
        <a:xfrm>
          <a:off x="5362575" y="1524000"/>
          <a:ext cx="5029200" cy="2838450"/>
          <a:chOff x="7086600" y="1409700"/>
          <a:chExt cx="3314700" cy="2838450"/>
        </a:xfrm>
      </xdr:grpSpPr>
      <xdr:sp macro="" textlink="">
        <xdr:nvSpPr>
          <xdr:cNvPr id="33" name="Rectangle: Rounded Corners 32">
            <a:extLst>
              <a:ext uri="{FF2B5EF4-FFF2-40B4-BE49-F238E27FC236}">
                <a16:creationId xmlns:a16="http://schemas.microsoft.com/office/drawing/2014/main" id="{F5F0B1BD-07B2-8439-E7FA-9954947A0C3A}"/>
              </a:ext>
            </a:extLst>
          </xdr:cNvPr>
          <xdr:cNvSpPr/>
        </xdr:nvSpPr>
        <xdr:spPr>
          <a:xfrm>
            <a:off x="7086600" y="1409700"/>
            <a:ext cx="3305175" cy="2838450"/>
          </a:xfrm>
          <a:prstGeom prst="roundRect">
            <a:avLst/>
          </a:prstGeom>
          <a:solidFill>
            <a:schemeClr val="accent2">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29" name="Chart 5">
            <a:extLst>
              <a:ext uri="{FF2B5EF4-FFF2-40B4-BE49-F238E27FC236}">
                <a16:creationId xmlns:a16="http://schemas.microsoft.com/office/drawing/2014/main" id="{9B155DAC-284B-68B4-D197-5E672BA9A339}"/>
              </a:ext>
            </a:extLst>
          </xdr:cNvPr>
          <xdr:cNvGraphicFramePr/>
        </xdr:nvGraphicFramePr>
        <xdr:xfrm>
          <a:off x="7193941" y="1576753"/>
          <a:ext cx="3207359" cy="2518997"/>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17</xdr:col>
      <xdr:colOff>190500</xdr:colOff>
      <xdr:row>2</xdr:row>
      <xdr:rowOff>123825</xdr:rowOff>
    </xdr:from>
    <xdr:to>
      <xdr:col>20</xdr:col>
      <xdr:colOff>523875</xdr:colOff>
      <xdr:row>26</xdr:row>
      <xdr:rowOff>180974</xdr:rowOff>
    </xdr:to>
    <xdr:grpSp>
      <xdr:nvGrpSpPr>
        <xdr:cNvPr id="41" name="Group 40">
          <a:extLst>
            <a:ext uri="{FF2B5EF4-FFF2-40B4-BE49-F238E27FC236}">
              <a16:creationId xmlns:a16="http://schemas.microsoft.com/office/drawing/2014/main" id="{E47C7BA7-886E-3650-D012-8F4A7E579169}"/>
            </a:ext>
          </a:extLst>
        </xdr:cNvPr>
        <xdr:cNvGrpSpPr/>
      </xdr:nvGrpSpPr>
      <xdr:grpSpPr>
        <a:xfrm>
          <a:off x="10553700" y="504825"/>
          <a:ext cx="2162175" cy="4629149"/>
          <a:chOff x="10582275" y="466725"/>
          <a:chExt cx="2162175" cy="4629149"/>
        </a:xfrm>
      </xdr:grpSpPr>
      <xdr:grpSp>
        <xdr:nvGrpSpPr>
          <xdr:cNvPr id="38" name="Group 37">
            <a:extLst>
              <a:ext uri="{FF2B5EF4-FFF2-40B4-BE49-F238E27FC236}">
                <a16:creationId xmlns:a16="http://schemas.microsoft.com/office/drawing/2014/main" id="{58AB603B-B97F-90C8-881E-900DDB1FAF68}"/>
              </a:ext>
            </a:extLst>
          </xdr:cNvPr>
          <xdr:cNvGrpSpPr/>
        </xdr:nvGrpSpPr>
        <xdr:grpSpPr>
          <a:xfrm>
            <a:off x="10582275" y="476249"/>
            <a:ext cx="2162175" cy="4619625"/>
            <a:chOff x="10753725" y="581024"/>
            <a:chExt cx="1914525" cy="4512419"/>
          </a:xfrm>
        </xdr:grpSpPr>
        <xdr:grpSp>
          <xdr:nvGrpSpPr>
            <xdr:cNvPr id="37" name="Group 36">
              <a:extLst>
                <a:ext uri="{FF2B5EF4-FFF2-40B4-BE49-F238E27FC236}">
                  <a16:creationId xmlns:a16="http://schemas.microsoft.com/office/drawing/2014/main" id="{ACCA19D9-D86A-5D3C-1278-8E00474F6370}"/>
                </a:ext>
              </a:extLst>
            </xdr:cNvPr>
            <xdr:cNvGrpSpPr/>
          </xdr:nvGrpSpPr>
          <xdr:grpSpPr>
            <a:xfrm>
              <a:off x="10753725" y="581024"/>
              <a:ext cx="1914525" cy="4512419"/>
              <a:chOff x="10753725" y="581024"/>
              <a:chExt cx="1914525" cy="4512419"/>
            </a:xfrm>
          </xdr:grpSpPr>
          <xdr:sp macro="" textlink="">
            <xdr:nvSpPr>
              <xdr:cNvPr id="36" name="Rectangle: Rounded Corners 35">
                <a:extLst>
                  <a:ext uri="{FF2B5EF4-FFF2-40B4-BE49-F238E27FC236}">
                    <a16:creationId xmlns:a16="http://schemas.microsoft.com/office/drawing/2014/main" id="{3676EF9A-B3E9-FDD2-793B-4526B8791D89}"/>
                  </a:ext>
                </a:extLst>
              </xdr:cNvPr>
              <xdr:cNvSpPr/>
            </xdr:nvSpPr>
            <xdr:spPr>
              <a:xfrm>
                <a:off x="10753725" y="581024"/>
                <a:ext cx="1914525" cy="4512419"/>
              </a:xfrm>
              <a:prstGeom prst="roundRect">
                <a:avLst/>
              </a:prstGeom>
              <a:solidFill>
                <a:schemeClr val="accent2">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graphicFrame macro="">
                <xdr:nvGraphicFramePr>
                  <xdr:cNvPr id="34" name="Full/Part Time">
                    <a:extLst>
                      <a:ext uri="{FF2B5EF4-FFF2-40B4-BE49-F238E27FC236}">
                        <a16:creationId xmlns:a16="http://schemas.microsoft.com/office/drawing/2014/main" id="{CBA9AE5D-BC4D-E376-0BA5-FBA1E4A5D083}"/>
                      </a:ext>
                    </a:extLst>
                  </xdr:cNvPr>
                  <xdr:cNvGraphicFramePr/>
                </xdr:nvGraphicFramePr>
                <xdr:xfrm>
                  <a:off x="10917832" y="960700"/>
                  <a:ext cx="1628775" cy="1057274"/>
                </xdr:xfrm>
                <a:graphic>
                  <a:graphicData uri="http://schemas.microsoft.com/office/drawing/2010/slicer">
                    <sle:slicer xmlns:sle="http://schemas.microsoft.com/office/drawing/2010/slicer" name="Full/Part Time"/>
                  </a:graphicData>
                </a:graphic>
              </xdr:graphicFrame>
            </mc:Choice>
            <mc:Fallback xmlns="">
              <xdr:sp macro="" textlink="">
                <xdr:nvSpPr>
                  <xdr:cNvPr id="0" name=""/>
                  <xdr:cNvSpPr>
                    <a:spLocks noTextEdit="1"/>
                  </xdr:cNvSpPr>
                </xdr:nvSpPr>
                <xdr:spPr>
                  <a:xfrm>
                    <a:off x="10739035" y="903045"/>
                    <a:ext cx="1839462" cy="108239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35" name="Department">
                  <a:extLst>
                    <a:ext uri="{FF2B5EF4-FFF2-40B4-BE49-F238E27FC236}">
                      <a16:creationId xmlns:a16="http://schemas.microsoft.com/office/drawing/2014/main" id="{D0CB27D3-E688-57DE-CECB-E1E42B0DA20C}"/>
                    </a:ext>
                  </a:extLst>
                </xdr:cNvPr>
                <xdr:cNvGraphicFramePr/>
              </xdr:nvGraphicFramePr>
              <xdr:xfrm>
                <a:off x="10921105" y="2114773"/>
                <a:ext cx="1638300" cy="2206443"/>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0742731" y="2084537"/>
                  <a:ext cx="1850219" cy="225886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sp macro="" textlink="">
        <xdr:nvSpPr>
          <xdr:cNvPr id="40" name="TextBox 39">
            <a:extLst>
              <a:ext uri="{FF2B5EF4-FFF2-40B4-BE49-F238E27FC236}">
                <a16:creationId xmlns:a16="http://schemas.microsoft.com/office/drawing/2014/main" id="{842AF574-673F-B2BF-C717-3D4AF4B3CBEC}"/>
              </a:ext>
            </a:extLst>
          </xdr:cNvPr>
          <xdr:cNvSpPr txBox="1"/>
        </xdr:nvSpPr>
        <xdr:spPr>
          <a:xfrm>
            <a:off x="10801350" y="466725"/>
            <a:ext cx="16383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800">
                <a:latin typeface="Times New Roman" panose="02020603050405020304" pitchFamily="18" charset="0"/>
                <a:cs typeface="Times New Roman" panose="02020603050405020304" pitchFamily="18" charset="0"/>
              </a:rPr>
              <a:t>Filters</a:t>
            </a:r>
          </a:p>
        </xdr:txBody>
      </xdr:sp>
    </xdr:grpSp>
    <xdr:clientData/>
  </xdr:twoCellAnchor>
  <xdr:twoCellAnchor>
    <xdr:from>
      <xdr:col>0</xdr:col>
      <xdr:colOff>38100</xdr:colOff>
      <xdr:row>23</xdr:row>
      <xdr:rowOff>171450</xdr:rowOff>
    </xdr:from>
    <xdr:to>
      <xdr:col>17</xdr:col>
      <xdr:colOff>133350</xdr:colOff>
      <xdr:row>27</xdr:row>
      <xdr:rowOff>66676</xdr:rowOff>
    </xdr:to>
    <xdr:sp macro="" textlink="">
      <xdr:nvSpPr>
        <xdr:cNvPr id="42" name="Rectangle: Rounded Corners 41">
          <a:extLst>
            <a:ext uri="{FF2B5EF4-FFF2-40B4-BE49-F238E27FC236}">
              <a16:creationId xmlns:a16="http://schemas.microsoft.com/office/drawing/2014/main" id="{33DF41D3-FDB8-06FA-1E1B-BD6D524373CE}"/>
            </a:ext>
          </a:extLst>
        </xdr:cNvPr>
        <xdr:cNvSpPr/>
      </xdr:nvSpPr>
      <xdr:spPr>
        <a:xfrm>
          <a:off x="38100" y="4552950"/>
          <a:ext cx="10458450" cy="657226"/>
        </a:xfrm>
        <a:prstGeom prst="roundRect">
          <a:avLst/>
        </a:prstGeom>
        <a:solidFill>
          <a:schemeClr val="accent2">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a:solidFill>
                <a:schemeClr val="tx1">
                  <a:lumMod val="85000"/>
                  <a:lumOff val="15000"/>
                </a:schemeClr>
              </a:solidFill>
              <a:latin typeface="Times New Roman" panose="02020603050405020304" pitchFamily="18" charset="0"/>
              <a:cs typeface="Times New Roman" panose="02020603050405020304" pitchFamily="18" charset="0"/>
            </a:rPr>
            <a:t>• Sales has the highest headcount (15 employees)</a:t>
          </a:r>
          <a:r>
            <a:rPr lang="en-IN" sz="1600" baseline="0">
              <a:solidFill>
                <a:schemeClr val="tx1">
                  <a:lumMod val="85000"/>
                  <a:lumOff val="15000"/>
                </a:schemeClr>
              </a:solidFill>
              <a:latin typeface="Times New Roman" panose="02020603050405020304" pitchFamily="18" charset="0"/>
              <a:cs typeface="Times New Roman" panose="02020603050405020304" pitchFamily="18" charset="0"/>
            </a:rPr>
            <a:t>  </a:t>
          </a:r>
          <a:r>
            <a:rPr lang="en-IN" sz="1600">
              <a:solidFill>
                <a:schemeClr val="tx1">
                  <a:lumMod val="85000"/>
                  <a:lumOff val="15000"/>
                </a:schemeClr>
              </a:solidFill>
              <a:latin typeface="Times New Roman" panose="02020603050405020304" pitchFamily="18" charset="0"/>
              <a:cs typeface="Times New Roman" panose="02020603050405020304" pitchFamily="18" charset="0"/>
            </a:rPr>
            <a:t>• Part-time workforce slightly higher than full-time</a:t>
          </a:r>
          <a:r>
            <a:rPr lang="en-IN" sz="1600" baseline="0">
              <a:solidFill>
                <a:schemeClr val="tx1">
                  <a:lumMod val="85000"/>
                  <a:lumOff val="15000"/>
                </a:schemeClr>
              </a:solidFill>
              <a:latin typeface="Times New Roman" panose="02020603050405020304" pitchFamily="18" charset="0"/>
              <a:cs typeface="Times New Roman" panose="02020603050405020304" pitchFamily="18" charset="0"/>
            </a:rPr>
            <a:t> </a:t>
          </a:r>
        </a:p>
        <a:p>
          <a:pPr algn="l"/>
          <a:r>
            <a:rPr lang="en-IN" sz="1600">
              <a:solidFill>
                <a:schemeClr val="tx1">
                  <a:lumMod val="85000"/>
                  <a:lumOff val="15000"/>
                </a:schemeClr>
              </a:solidFill>
              <a:latin typeface="Times New Roman" panose="02020603050405020304" pitchFamily="18" charset="0"/>
              <a:cs typeface="Times New Roman" panose="02020603050405020304" pitchFamily="18" charset="0"/>
            </a:rPr>
            <a:t>• Facilities has the smallest team size</a:t>
          </a:r>
        </a:p>
        <a:p>
          <a:pPr algn="l"/>
          <a:endParaRPr lang="en-IN" sz="1600">
            <a:solidFill>
              <a:schemeClr val="tx1">
                <a:lumMod val="85000"/>
                <a:lumOff val="15000"/>
              </a:schemeClr>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0</xdr:colOff>
      <xdr:row>6</xdr:row>
      <xdr:rowOff>0</xdr:rowOff>
    </xdr:from>
    <xdr:to>
      <xdr:col>17</xdr:col>
      <xdr:colOff>19050</xdr:colOff>
      <xdr:row>7</xdr:row>
      <xdr:rowOff>66675</xdr:rowOff>
    </xdr:to>
    <xdr:sp macro="" textlink="">
      <xdr:nvSpPr>
        <xdr:cNvPr id="43" name="Rectangle: Rounded Corners 42">
          <a:extLst>
            <a:ext uri="{FF2B5EF4-FFF2-40B4-BE49-F238E27FC236}">
              <a16:creationId xmlns:a16="http://schemas.microsoft.com/office/drawing/2014/main" id="{745AB5AB-A78E-1E01-FBB1-605366193E57}"/>
            </a:ext>
          </a:extLst>
        </xdr:cNvPr>
        <xdr:cNvSpPr/>
      </xdr:nvSpPr>
      <xdr:spPr>
        <a:xfrm>
          <a:off x="0" y="1143000"/>
          <a:ext cx="10382250" cy="257175"/>
        </a:xfrm>
        <a:prstGeom prst="roundRect">
          <a:avLst/>
        </a:prstGeom>
        <a:solidFill>
          <a:schemeClr val="accent2">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100">
              <a:solidFill>
                <a:schemeClr val="tx1">
                  <a:lumMod val="85000"/>
                  <a:lumOff val="15000"/>
                </a:schemeClr>
              </a:solidFill>
            </a:rPr>
            <a:t>Workforce Distribution Overview</a:t>
          </a:r>
        </a:p>
        <a:p>
          <a:pPr algn="ctr"/>
          <a:endParaRPr lang="en-IN" sz="1100"/>
        </a:p>
      </xdr:txBody>
    </xdr:sp>
    <xdr:clientData/>
  </xdr:twoCellAnchor>
  <xdr:twoCellAnchor>
    <xdr:from>
      <xdr:col>17</xdr:col>
      <xdr:colOff>371475</xdr:colOff>
      <xdr:row>23</xdr:row>
      <xdr:rowOff>57150</xdr:rowOff>
    </xdr:from>
    <xdr:to>
      <xdr:col>20</xdr:col>
      <xdr:colOff>400050</xdr:colOff>
      <xdr:row>25</xdr:row>
      <xdr:rowOff>180975</xdr:rowOff>
    </xdr:to>
    <xdr:sp macro="[0]!Clear_filter" textlink="">
      <xdr:nvSpPr>
        <xdr:cNvPr id="46" name="Rectangle: Rounded Corners 45">
          <a:extLst>
            <a:ext uri="{FF2B5EF4-FFF2-40B4-BE49-F238E27FC236}">
              <a16:creationId xmlns:a16="http://schemas.microsoft.com/office/drawing/2014/main" id="{11959AE4-0C84-A290-6AAD-2D31B12A5CB4}"/>
            </a:ext>
          </a:extLst>
        </xdr:cNvPr>
        <xdr:cNvSpPr/>
      </xdr:nvSpPr>
      <xdr:spPr>
        <a:xfrm>
          <a:off x="10734675" y="4438650"/>
          <a:ext cx="1857375" cy="504825"/>
        </a:xfrm>
        <a:prstGeom prst="roundRect">
          <a:avLst/>
        </a:prstGeom>
        <a:solidFill>
          <a:schemeClr val="accent2">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a:solidFill>
                <a:schemeClr val="tx1">
                  <a:lumMod val="85000"/>
                  <a:lumOff val="15000"/>
                </a:schemeClr>
              </a:solidFill>
              <a:latin typeface="Times New Roman" panose="02020603050405020304" pitchFamily="18" charset="0"/>
              <a:cs typeface="Times New Roman" panose="02020603050405020304" pitchFamily="18" charset="0"/>
            </a:rPr>
            <a:t>Clear Filter</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hanvi" refreshedDate="46060.897166435185" createdVersion="8" refreshedVersion="8" minRefreshableVersion="3" recordCount="35" xr:uid="{95213334-5A3E-44E4-A5DD-C29729C55568}">
  <cacheSource type="worksheet">
    <worksheetSource name="Table2"/>
  </cacheSource>
  <cacheFields count="13">
    <cacheField name="Emp No." numFmtId="0">
      <sharedItems containsSemiMixedTypes="0" containsString="0" containsNumber="1" containsInteger="1" minValue="1001" maxValue="1253"/>
    </cacheField>
    <cacheField name="Full/Part Time" numFmtId="0">
      <sharedItems count="2">
        <s v="F"/>
        <s v="P"/>
      </sharedItems>
    </cacheField>
    <cacheField name="Emp ID" numFmtId="0">
      <sharedItems count="35">
        <s v="1180F"/>
        <s v="1110F"/>
        <s v="1232F"/>
        <s v="1243P"/>
        <s v="1248P"/>
        <s v="1227P"/>
        <s v="1230P"/>
        <s v="1162F"/>
        <s v="1001P"/>
        <s v="1224F"/>
        <s v="1203P"/>
        <s v="1211P"/>
        <s v="1198P"/>
        <s v="1003F"/>
        <s v="1235F"/>
        <s v="1253P"/>
        <s v="1221P"/>
        <s v="1186F"/>
        <s v="1218P"/>
        <s v="1215F"/>
        <s v="1241P"/>
        <s v="1246F"/>
        <s v="1172F"/>
        <s v="1134F"/>
        <s v="1150F"/>
        <s v="1004P"/>
        <s v="1239F"/>
        <s v="1250F"/>
        <s v="1192P"/>
        <s v="1249P"/>
        <s v="1245P"/>
        <s v="1207P"/>
        <s v="1244P"/>
        <s v="1252F"/>
        <s v="1237F"/>
      </sharedItems>
    </cacheField>
    <cacheField name="Last Name" numFmtId="0">
      <sharedItems/>
    </cacheField>
    <cacheField name="First Name" numFmtId="0">
      <sharedItems/>
    </cacheField>
    <cacheField name="Full Name" numFmtId="0">
      <sharedItems/>
    </cacheField>
    <cacheField name="Email" numFmtId="0">
      <sharedItems/>
    </cacheField>
    <cacheField name="Date of Hire" numFmtId="14">
      <sharedItems containsSemiMixedTypes="0" containsNonDate="0" containsDate="1" containsString="0" minDate="2001-02-01T00:00:00" maxDate="2017-06-20T00:00:00"/>
    </cacheField>
    <cacheField name="Department" numFmtId="0">
      <sharedItems count="7">
        <s v="Sales"/>
        <s v="Customer Service"/>
        <s v="Human Resources"/>
        <s v="Accounting"/>
        <s v="Executive"/>
        <s v="Facilities"/>
        <s v="IT"/>
      </sharedItems>
    </cacheField>
    <cacheField name="Location" numFmtId="0">
      <sharedItems/>
    </cacheField>
    <cacheField name="Floor No." numFmtId="0">
      <sharedItems count="3">
        <s v="02"/>
        <s v="03"/>
        <s v="01"/>
      </sharedItems>
    </cacheField>
    <cacheField name="Wing" numFmtId="0">
      <sharedItems/>
    </cacheField>
    <cacheField name="Extension " numFmtId="0">
      <sharedItems count="35">
        <s v="2635 "/>
        <s v="2018 "/>
        <s v="2347 "/>
        <s v="2764 "/>
        <s v="589 _x001f_"/>
        <s v="2318 "/>
        <s v="2694 "/>
        <s v="2699 "/>
        <s v="2321 "/>
        <s v="2432 "/>
        <s v="2962 "/>
        <s v="134 _x001f_"/>
        <s v="2425 "/>
        <s v="2796 "/>
        <s v="2601 "/>
        <s v="2414 "/>
        <s v="2537 "/>
        <s v="2286 "/>
        <s v="086 _x001f_"/>
        <s v="2358 "/>
        <s v="2082 "/>
        <s v="2482 "/>
        <s v="2372 "/>
        <s v="2392 "/>
        <s v="2279 "/>
        <s v="2639 "/>
        <s v="2284 "/>
        <s v="2910 "/>
        <s v="2294 "/>
        <s v="2765 "/>
        <s v="2260 "/>
        <s v="2578 "/>
        <s v="2654 "/>
        <s v="2783 "/>
        <s v="2793 "/>
      </sharedItems>
    </cacheField>
  </cacheFields>
  <extLst>
    <ext xmlns:x14="http://schemas.microsoft.com/office/spreadsheetml/2009/9/main" uri="{725AE2AE-9491-48be-B2B4-4EB974FC3084}">
      <x14:pivotCacheDefinition pivotCacheId="4676508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
  <r>
    <n v="1180"/>
    <x v="0"/>
    <x v="0"/>
    <s v="Bacata"/>
    <s v="Stevie"/>
    <s v="Stevie Bacata"/>
    <s v="sbacata@zenco.com"/>
    <d v="2008-04-13T00:00:00"/>
    <x v="0"/>
    <s v="02-West-2635 "/>
    <x v="0"/>
    <s v="West"/>
    <x v="0"/>
  </r>
  <r>
    <n v="1110"/>
    <x v="0"/>
    <x v="1"/>
    <s v="BARRY"/>
    <s v="Adam"/>
    <s v="Adam Barry"/>
    <s v="abarry@zenco.com"/>
    <d v="2004-04-22T00:00:00"/>
    <x v="1"/>
    <s v="02-West-2018 "/>
    <x v="0"/>
    <s v="West"/>
    <x v="1"/>
  </r>
  <r>
    <n v="1232"/>
    <x v="0"/>
    <x v="2"/>
    <s v="Betts"/>
    <s v="Connor"/>
    <s v="Connor Betts"/>
    <s v="cbetts@zenco.com"/>
    <d v="2014-11-13T00:00:00"/>
    <x v="0"/>
    <s v="02-NorthEast-2347 "/>
    <x v="0"/>
    <s v="North"/>
    <x v="2"/>
  </r>
  <r>
    <n v="1243"/>
    <x v="1"/>
    <x v="3"/>
    <s v="BINGA"/>
    <s v="Fred"/>
    <s v="Fred Binga"/>
    <s v="fbinga@zenco.com"/>
    <d v="2015-08-13T00:00:00"/>
    <x v="2"/>
    <s v="03-West-2764 "/>
    <x v="1"/>
    <s v="West"/>
    <x v="3"/>
  </r>
  <r>
    <n v="1248"/>
    <x v="1"/>
    <x v="4"/>
    <s v="Biti"/>
    <s v="Yvette"/>
    <s v="Yvette Biti"/>
    <s v="ybiti@zenco.com"/>
    <d v="2016-01-15T00:00:00"/>
    <x v="0"/>
    <s v="02-West-2589 _x001f_"/>
    <x v="0"/>
    <s v="West"/>
    <x v="4"/>
  </r>
  <r>
    <n v="1227"/>
    <x v="1"/>
    <x v="5"/>
    <s v="BOLLER"/>
    <s v="Jim"/>
    <s v="Jim Boller"/>
    <s v="jboller@zenco.com"/>
    <d v="2014-09-11T00:00:00"/>
    <x v="3"/>
    <s v="03-East-2318 "/>
    <x v="1"/>
    <s v="East"/>
    <x v="5"/>
  </r>
  <r>
    <n v="1230"/>
    <x v="1"/>
    <x v="6"/>
    <s v="Bui"/>
    <s v="Charlie"/>
    <s v="Charlie Bui"/>
    <s v="cbui@zenco.com"/>
    <d v="2014-09-21T00:00:00"/>
    <x v="0"/>
    <s v="02-East-2694 "/>
    <x v="0"/>
    <s v="East"/>
    <x v="6"/>
  </r>
  <r>
    <n v="1162"/>
    <x v="0"/>
    <x v="7"/>
    <s v="Carlton"/>
    <s v="Barbara"/>
    <s v="Barbara Carlton"/>
    <s v="bcarlton@zenco.com"/>
    <d v="2006-03-22T00:00:00"/>
    <x v="0"/>
    <s v="02-West-2699 "/>
    <x v="0"/>
    <s v="West"/>
    <x v="7"/>
  </r>
  <r>
    <n v="1001"/>
    <x v="1"/>
    <x v="8"/>
    <s v="CAROL"/>
    <s v="Joe"/>
    <s v="Joe Carol"/>
    <s v="jcarol@zenco.com"/>
    <d v="2001-02-01T00:00:00"/>
    <x v="4"/>
    <s v="01-East-2321 "/>
    <x v="2"/>
    <s v="East"/>
    <x v="8"/>
  </r>
  <r>
    <n v="1224"/>
    <x v="0"/>
    <x v="9"/>
    <s v="CHAFFEE"/>
    <s v="Jim"/>
    <s v="Jim Chaffee"/>
    <s v="jchaffee@zenco.com"/>
    <d v="2014-05-28T00:00:00"/>
    <x v="5"/>
    <s v="03-West-2432 "/>
    <x v="1"/>
    <s v="West"/>
    <x v="9"/>
  </r>
  <r>
    <n v="1203"/>
    <x v="1"/>
    <x v="10"/>
    <s v="Chairs"/>
    <s v="Samantha"/>
    <s v="Samantha Chairs"/>
    <s v="schairs@zenco.com"/>
    <d v="2011-02-21T00:00:00"/>
    <x v="0"/>
    <s v="02-West-2962 "/>
    <x v="0"/>
    <s v="West"/>
    <x v="10"/>
  </r>
  <r>
    <n v="1211"/>
    <x v="1"/>
    <x v="11"/>
    <s v="CHAUDRI"/>
    <s v="Uma"/>
    <s v="Uma Chaudri"/>
    <s v="uchaudri@zenco.com"/>
    <d v="2012-03-26T00:00:00"/>
    <x v="2"/>
    <s v="03-East-2134 _x001f_"/>
    <x v="1"/>
    <s v="East"/>
    <x v="11"/>
  </r>
  <r>
    <n v="1198"/>
    <x v="1"/>
    <x v="12"/>
    <s v="CHU"/>
    <s v="Elizabeth"/>
    <s v="Elizabeth Chu"/>
    <s v="echu@zenco.com"/>
    <d v="2010-02-11T00:00:00"/>
    <x v="6"/>
    <s v="01-West-2425 "/>
    <x v="2"/>
    <s v="West"/>
    <x v="12"/>
  </r>
  <r>
    <n v="1003"/>
    <x v="0"/>
    <x v="13"/>
    <s v="CHUNG"/>
    <s v="Eric"/>
    <s v="Eric Chung"/>
    <s v="echung@zenco.com"/>
    <d v="2001-02-27T00:00:00"/>
    <x v="6"/>
    <s v="03-West-2796 "/>
    <x v="1"/>
    <s v="West"/>
    <x v="13"/>
  </r>
  <r>
    <n v="1235"/>
    <x v="0"/>
    <x v="14"/>
    <s v="CLARK"/>
    <s v="ANNA"/>
    <s v="Anna Clark"/>
    <s v="aclark@zenco.com"/>
    <d v="2014-12-16T00:00:00"/>
    <x v="3"/>
    <s v="03-West-2601 "/>
    <x v="1"/>
    <s v="West"/>
    <x v="14"/>
  </r>
  <r>
    <n v="1253"/>
    <x v="1"/>
    <x v="15"/>
    <s v="CLARK"/>
    <s v="Elizabeth"/>
    <s v="Elizabeth Clark"/>
    <s v="eclark@zenco.com"/>
    <d v="2017-06-19T00:00:00"/>
    <x v="1"/>
    <s v="02-NorthEast-2414 "/>
    <x v="0"/>
    <s v="North"/>
    <x v="15"/>
  </r>
  <r>
    <n v="1221"/>
    <x v="1"/>
    <x v="16"/>
    <s v="COLE"/>
    <s v="Sabrina"/>
    <s v="Sabrina Cole"/>
    <s v="scole@zenco.com"/>
    <d v="2013-05-07T00:00:00"/>
    <x v="1"/>
    <s v="02-West-2537 "/>
    <x v="0"/>
    <s v="West"/>
    <x v="16"/>
  </r>
  <r>
    <n v="1186"/>
    <x v="0"/>
    <x v="17"/>
    <s v="COMUNTZIS"/>
    <s v="Janet"/>
    <s v="Janet Comuntzis"/>
    <s v="jcomuntzis@zenco.com"/>
    <d v="2008-08-26T00:00:00"/>
    <x v="1"/>
    <s v="02-West-2286 "/>
    <x v="0"/>
    <s v="West"/>
    <x v="17"/>
  </r>
  <r>
    <n v="1218"/>
    <x v="1"/>
    <x v="18"/>
    <s v="DECKER"/>
    <s v="Bob"/>
    <s v="Bob Decker"/>
    <s v="bdecker@zenco.com"/>
    <d v="2012-10-28T00:00:00"/>
    <x v="6"/>
    <s v="01-East-2086 _x001f_"/>
    <x v="2"/>
    <s v="East"/>
    <x v="18"/>
  </r>
  <r>
    <n v="1215"/>
    <x v="0"/>
    <x v="19"/>
    <s v="DESIATO"/>
    <s v="Tina"/>
    <s v="Tina Desiato"/>
    <s v="tdesiato@zenco.com"/>
    <d v="2012-09-23T00:00:00"/>
    <x v="6"/>
    <s v="01-East-2358 "/>
    <x v="2"/>
    <s v="East"/>
    <x v="19"/>
  </r>
  <r>
    <n v="1241"/>
    <x v="1"/>
    <x v="20"/>
    <s v="DONNELL"/>
    <s v="Alexandra"/>
    <s v="Alexandra Donnell"/>
    <s v="adonnell@zenco.com"/>
    <d v="2015-08-12T00:00:00"/>
    <x v="3"/>
    <s v="03-West-2082 "/>
    <x v="1"/>
    <s v="West"/>
    <x v="20"/>
  </r>
  <r>
    <n v="1246"/>
    <x v="0"/>
    <x v="21"/>
    <s v="ELLIS"/>
    <s v="Mark"/>
    <s v="Mark Ellis"/>
    <s v="mellis@zenco.com"/>
    <d v="2016-01-02T00:00:00"/>
    <x v="6"/>
    <s v="03-NorthEast-2482 "/>
    <x v="1"/>
    <s v="North"/>
    <x v="21"/>
  </r>
  <r>
    <n v="1172"/>
    <x v="0"/>
    <x v="22"/>
    <s v="Fernandes"/>
    <s v="Nicholas"/>
    <s v="Nicholas Fernandes"/>
    <s v="nfernandes@zenco.com"/>
    <d v="2006-11-02T00:00:00"/>
    <x v="3"/>
    <s v="02-East-2372 "/>
    <x v="0"/>
    <s v="East"/>
    <x v="22"/>
  </r>
  <r>
    <n v="1134"/>
    <x v="0"/>
    <x v="23"/>
    <s v="FERRIS"/>
    <s v="Mary"/>
    <s v="Mary Ferris"/>
    <s v="mferris@zenco.com"/>
    <d v="2005-07-15T00:00:00"/>
    <x v="0"/>
    <s v="03-East-2392 "/>
    <x v="1"/>
    <s v="East"/>
    <x v="23"/>
  </r>
  <r>
    <n v="1150"/>
    <x v="0"/>
    <x v="24"/>
    <s v="FILOSA"/>
    <s v="Susan"/>
    <s v="Susan Filosa"/>
    <s v="sfilosa@zenco.com"/>
    <d v="2006-01-27T00:00:00"/>
    <x v="1"/>
    <s v="02-West-2279 "/>
    <x v="0"/>
    <s v="West"/>
    <x v="24"/>
  </r>
  <r>
    <n v="1004"/>
    <x v="1"/>
    <x v="25"/>
    <s v="FLANDERS"/>
    <s v="Daniel"/>
    <s v="Daniel Flanders"/>
    <s v="dflanders@zenco.com"/>
    <d v="2002-09-11T00:00:00"/>
    <x v="0"/>
    <s v="02-East-2639 "/>
    <x v="0"/>
    <s v="East"/>
    <x v="25"/>
  </r>
  <r>
    <n v="1239"/>
    <x v="0"/>
    <x v="26"/>
    <s v="Forrest"/>
    <s v="Leighton"/>
    <s v="Leighton Forrest"/>
    <s v="lforrest@zenco.com"/>
    <d v="2015-04-26T00:00:00"/>
    <x v="0"/>
    <s v="02-East-2284 "/>
    <x v="0"/>
    <s v="East"/>
    <x v="26"/>
  </r>
  <r>
    <n v="1250"/>
    <x v="0"/>
    <x v="27"/>
    <s v="Gour"/>
    <s v="Phoebe"/>
    <s v="Phoebe Gour"/>
    <s v="pgour@zenco.com"/>
    <d v="2016-12-17T00:00:00"/>
    <x v="0"/>
    <s v="02-East-2910 "/>
    <x v="0"/>
    <s v="East"/>
    <x v="27"/>
  </r>
  <r>
    <n v="1192"/>
    <x v="1"/>
    <x v="28"/>
    <s v="Khan"/>
    <s v="Mihael"/>
    <s v="Mihael Khan"/>
    <s v="mkhan@zenco.com"/>
    <d v="2009-12-13T00:00:00"/>
    <x v="0"/>
    <s v="02-NorthEast-2294 "/>
    <x v="0"/>
    <s v="North"/>
    <x v="28"/>
  </r>
  <r>
    <n v="1249"/>
    <x v="1"/>
    <x v="29"/>
    <s v="SANDERS"/>
    <s v="Sean"/>
    <s v="Sean Sanders"/>
    <s v="ssanders@zenco.com"/>
    <d v="2016-11-17T00:00:00"/>
    <x v="2"/>
    <s v="03-West-2765 "/>
    <x v="1"/>
    <s v="West"/>
    <x v="29"/>
  </r>
  <r>
    <n v="1245"/>
    <x v="1"/>
    <x v="30"/>
    <s v="Senome"/>
    <s v="Preston"/>
    <s v="Preston Senome"/>
    <s v="psenome@zenco.com"/>
    <d v="2015-11-16T00:00:00"/>
    <x v="0"/>
    <s v="02-East-2260 "/>
    <x v="0"/>
    <s v="East"/>
    <x v="30"/>
  </r>
  <r>
    <n v="1207"/>
    <x v="1"/>
    <x v="31"/>
    <s v="Song"/>
    <s v="Natasha"/>
    <s v="Natasha Song"/>
    <s v="nsong@zenco.com"/>
    <d v="2011-06-19T00:00:00"/>
    <x v="0"/>
    <s v="02-East-2578 "/>
    <x v="0"/>
    <s v="East"/>
    <x v="31"/>
  </r>
  <r>
    <n v="1244"/>
    <x v="1"/>
    <x v="32"/>
    <s v="Staples"/>
    <s v="Radhya"/>
    <s v="Radhya Staples"/>
    <s v="rstaples@zenco.com"/>
    <d v="2015-11-13T00:00:00"/>
    <x v="0"/>
    <s v="02-East-2654 "/>
    <x v="0"/>
    <s v="East"/>
    <x v="32"/>
  </r>
  <r>
    <n v="1252"/>
    <x v="0"/>
    <x v="33"/>
    <s v="WANG"/>
    <s v="Mei"/>
    <s v="Mei Wang"/>
    <s v="mwang@zenco.com"/>
    <d v="2010-01-10T00:00:00"/>
    <x v="4"/>
    <s v="01-West-2783 "/>
    <x v="2"/>
    <s v="West"/>
    <x v="33"/>
  </r>
  <r>
    <n v="1237"/>
    <x v="0"/>
    <x v="34"/>
    <s v="Zhang"/>
    <s v="Aanya"/>
    <s v="Aanya Zhang"/>
    <s v="azhang@zenco.com"/>
    <d v="2014-12-29T00:00:00"/>
    <x v="0"/>
    <s v="02-East-2793 "/>
    <x v="0"/>
    <s v="East"/>
    <x v="3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A2B791B-A1C5-4DF9-84AB-A747D57DFC9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11" firstHeaderRow="1" firstDataRow="1" firstDataCol="1"/>
  <pivotFields count="13">
    <pivotField dataField="1" showAll="0"/>
    <pivotField showAll="0">
      <items count="3">
        <item x="0"/>
        <item x="1"/>
        <item t="default"/>
      </items>
    </pivotField>
    <pivotField showAll="0"/>
    <pivotField showAll="0"/>
    <pivotField showAll="0"/>
    <pivotField showAll="0"/>
    <pivotField showAll="0"/>
    <pivotField numFmtId="14" showAll="0"/>
    <pivotField axis="axisRow" showAll="0">
      <items count="8">
        <item x="3"/>
        <item x="1"/>
        <item x="4"/>
        <item x="5"/>
        <item x="2"/>
        <item x="6"/>
        <item x="0"/>
        <item t="default"/>
      </items>
    </pivotField>
    <pivotField showAll="0"/>
    <pivotField showAll="0">
      <items count="4">
        <item x="2"/>
        <item x="0"/>
        <item x="1"/>
        <item t="default"/>
      </items>
    </pivotField>
    <pivotField showAll="0"/>
    <pivotField showAll="0">
      <items count="36">
        <item x="18"/>
        <item x="11"/>
        <item x="1"/>
        <item x="20"/>
        <item x="30"/>
        <item x="24"/>
        <item x="26"/>
        <item x="17"/>
        <item x="28"/>
        <item x="5"/>
        <item x="8"/>
        <item x="2"/>
        <item x="19"/>
        <item x="22"/>
        <item x="23"/>
        <item x="15"/>
        <item x="12"/>
        <item x="9"/>
        <item x="21"/>
        <item x="16"/>
        <item x="31"/>
        <item x="14"/>
        <item x="0"/>
        <item x="25"/>
        <item x="32"/>
        <item x="6"/>
        <item x="7"/>
        <item x="3"/>
        <item x="29"/>
        <item x="33"/>
        <item x="34"/>
        <item x="13"/>
        <item x="27"/>
        <item x="10"/>
        <item x="4"/>
        <item t="default"/>
      </items>
    </pivotField>
  </pivotFields>
  <rowFields count="1">
    <field x="8"/>
  </rowFields>
  <rowItems count="8">
    <i>
      <x/>
    </i>
    <i>
      <x v="1"/>
    </i>
    <i>
      <x v="2"/>
    </i>
    <i>
      <x v="3"/>
    </i>
    <i>
      <x v="4"/>
    </i>
    <i>
      <x v="5"/>
    </i>
    <i>
      <x v="6"/>
    </i>
    <i t="grand">
      <x/>
    </i>
  </rowItems>
  <colItems count="1">
    <i/>
  </colItems>
  <dataFields count="1">
    <dataField name="Count of Emp No." fld="0" subtotal="count" baseField="1" baseItem="0"/>
  </dataFields>
  <chartFormats count="1">
    <chartFormat chart="2"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09E19FA-5556-4A8B-983C-E8E8C07387F9}"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E9:F17" firstHeaderRow="1" firstDataRow="1" firstDataCol="1"/>
  <pivotFields count="13">
    <pivotField dataField="1" showAll="0"/>
    <pivotField showAll="0">
      <items count="3">
        <item x="0"/>
        <item x="1"/>
        <item t="default"/>
      </items>
    </pivotField>
    <pivotField showAll="0">
      <items count="36">
        <item x="8"/>
        <item x="13"/>
        <item x="25"/>
        <item x="1"/>
        <item x="23"/>
        <item x="24"/>
        <item x="7"/>
        <item x="22"/>
        <item x="0"/>
        <item x="17"/>
        <item x="28"/>
        <item x="12"/>
        <item x="10"/>
        <item x="31"/>
        <item x="11"/>
        <item x="19"/>
        <item x="18"/>
        <item x="16"/>
        <item x="9"/>
        <item x="5"/>
        <item x="6"/>
        <item x="2"/>
        <item x="14"/>
        <item x="34"/>
        <item x="26"/>
        <item x="20"/>
        <item x="3"/>
        <item x="32"/>
        <item x="30"/>
        <item x="21"/>
        <item x="4"/>
        <item x="29"/>
        <item x="27"/>
        <item x="33"/>
        <item x="15"/>
        <item t="default"/>
      </items>
    </pivotField>
    <pivotField showAll="0"/>
    <pivotField showAll="0"/>
    <pivotField showAll="0"/>
    <pivotField showAll="0"/>
    <pivotField numFmtId="14" showAll="0"/>
    <pivotField axis="axisRow" showAll="0">
      <items count="8">
        <item x="3"/>
        <item x="1"/>
        <item x="4"/>
        <item x="5"/>
        <item x="2"/>
        <item x="6"/>
        <item x="0"/>
        <item t="default"/>
      </items>
    </pivotField>
    <pivotField showAll="0"/>
    <pivotField showAll="0"/>
    <pivotField showAll="0"/>
    <pivotField showAll="0"/>
  </pivotFields>
  <rowFields count="1">
    <field x="8"/>
  </rowFields>
  <rowItems count="8">
    <i>
      <x/>
    </i>
    <i>
      <x v="1"/>
    </i>
    <i>
      <x v="2"/>
    </i>
    <i>
      <x v="3"/>
    </i>
    <i>
      <x v="4"/>
    </i>
    <i>
      <x v="5"/>
    </i>
    <i>
      <x v="6"/>
    </i>
    <i t="grand">
      <x/>
    </i>
  </rowItems>
  <colItems count="1">
    <i/>
  </colItems>
  <dataFields count="1">
    <dataField name="Sum of Emp No." fld="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3B9F7C1-506A-4DF6-9CF1-E10AFDA0E029}"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E3:F6" firstHeaderRow="1" firstDataRow="1" firstDataCol="1"/>
  <pivotFields count="13">
    <pivotField dataField="1" showAll="0"/>
    <pivotField axis="axisRow" showAll="0">
      <items count="3">
        <item x="0"/>
        <item x="1"/>
        <item t="default"/>
      </items>
    </pivotField>
    <pivotField showAll="0"/>
    <pivotField showAll="0"/>
    <pivotField showAll="0"/>
    <pivotField showAll="0"/>
    <pivotField showAll="0"/>
    <pivotField numFmtId="14" showAll="0"/>
    <pivotField showAll="0">
      <items count="8">
        <item x="3"/>
        <item x="1"/>
        <item x="4"/>
        <item x="5"/>
        <item x="2"/>
        <item x="6"/>
        <item x="0"/>
        <item t="default"/>
      </items>
    </pivotField>
    <pivotField showAll="0"/>
    <pivotField showAll="0"/>
    <pivotField showAll="0"/>
    <pivotField showAll="0"/>
  </pivotFields>
  <rowFields count="1">
    <field x="1"/>
  </rowFields>
  <rowItems count="3">
    <i>
      <x/>
    </i>
    <i>
      <x v="1"/>
    </i>
    <i t="grand">
      <x/>
    </i>
  </rowItems>
  <colItems count="1">
    <i/>
  </colItems>
  <dataFields count="1">
    <dataField name="Count of Emp No." fld="0" subtotal="count" baseField="1" baseItem="1"/>
  </dataField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ll_Part_Time" xr10:uid="{52A3C76C-2B86-44C1-9EE2-AF6882772962}" sourceName="Full/Part Time">
  <pivotTables>
    <pivotTable tabId="3" name="PivotTable8"/>
    <pivotTable tabId="3" name="PivotTable5"/>
    <pivotTable tabId="3" name="PivotTable7"/>
  </pivotTables>
  <data>
    <tabular pivotCacheId="46765081">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7765F4F3-80CB-4E26-95D6-928DF85399C3}" sourceName="Department">
  <pivotTables>
    <pivotTable tabId="3" name="PivotTable8"/>
    <pivotTable tabId="3" name="PivotTable5"/>
    <pivotTable tabId="3" name="PivotTable7"/>
  </pivotTables>
  <data>
    <tabular pivotCacheId="46765081">
      <items count="7">
        <i x="3" s="1"/>
        <i x="1" s="1"/>
        <i x="4" s="1"/>
        <i x="5" s="1"/>
        <i x="2" s="1"/>
        <i x="6"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_wise_Total" xr10:uid="{96C28EF8-5FDA-4C11-8364-D2778F4549E2}" sourceName="Department-wise Total">
  <extLst>
    <x:ext xmlns:x15="http://schemas.microsoft.com/office/spreadsheetml/2010/11/main" uri="{2F2917AC-EB37-4324-AD4E-5DD8C200BD13}">
      <x15:tableSlicerCache tableId="3" column="1"/>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wise Total" xr10:uid="{EE33D7B7-A1F3-47FF-AC56-9E1ECC71AE75}" cache="Slicer_Department_wise_Total" caption="Department-wise Total"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ll/Part Time" xr10:uid="{EB292C6E-DD6D-4A42-99C5-D670D352326E}" cache="Slicer_Full_Part_Time" caption="Full/Part Time" style="SlicerStyleLight2" rowHeight="241300"/>
  <slicer name="Department" xr10:uid="{90ACCF90-3E1D-47D2-A20F-E011058A973B}" cache="Slicer_Department" caption="Department" style="SlicerStyleLight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305CB1C-8B4C-4F48-8E74-1F7663EA891F}" name="Table2" displayName="Table2" ref="A3:M38" totalsRowShown="0" headerRowDxfId="14" dataDxfId="13" headerRowCellStyle="Accent1">
  <tableColumns count="13">
    <tableColumn id="1" xr3:uid="{2606A436-7AC3-4329-81DF-55715168F839}" name="Emp No." dataDxfId="12"/>
    <tableColumn id="2" xr3:uid="{FBF0E317-4990-42EE-973F-8F8082001CBE}" name="Full/Part Time" dataDxfId="11"/>
    <tableColumn id="3" xr3:uid="{F3BDB7CC-6AC6-4B9A-9EB5-F115B3579051}" name="Emp ID" dataDxfId="10">
      <calculatedColumnFormula>_xlfn.TEXTJOIN( ,0,A4,B4)</calculatedColumnFormula>
    </tableColumn>
    <tableColumn id="4" xr3:uid="{A3ED719B-7289-4966-A042-9EFDE3FB1ED2}" name="Last Name" dataDxfId="9"/>
    <tableColumn id="5" xr3:uid="{388DFCA5-23BD-437A-8F11-AB16E29953E4}" name="First Name" dataDxfId="8"/>
    <tableColumn id="6" xr3:uid="{D1D79396-6109-4A22-8681-E068C82FE9CD}" name="Full Name" dataDxfId="7">
      <calculatedColumnFormula>PROPER(_xlfn.TEXTJOIN(" ",0,E4,D4))</calculatedColumnFormula>
    </tableColumn>
    <tableColumn id="7" xr3:uid="{252BCA2E-2693-4743-8295-35AD6002AE4F}" name="Email" dataDxfId="6">
      <calculatedColumnFormula>LOWER(LEFT(E4,1)&amp;D4&amp;"@zenco.com")</calculatedColumnFormula>
    </tableColumn>
    <tableColumn id="8" xr3:uid="{2E48C9D2-EF81-4407-9535-3D2BACB464DD}" name="Date of Hire" dataDxfId="5"/>
    <tableColumn id="9" xr3:uid="{89617DC6-0E4A-493D-9C3F-3838E7C25E1D}" name="Department" dataDxfId="4"/>
    <tableColumn id="10" xr3:uid="{BE5938C8-2D5E-4BDA-88F1-71E19D95FDF5}" name="Location" dataDxfId="3"/>
    <tableColumn id="11" xr3:uid="{BE3A08DD-FD55-44F3-9CFF-FC6921707DAF}" name="Floor No." dataDxfId="2">
      <calculatedColumnFormula>LEFT(J4,2)</calculatedColumnFormula>
    </tableColumn>
    <tableColumn id="12" xr3:uid="{073A7E0D-EE78-4458-8CAF-693C46A43A5E}" name="Wing" dataDxfId="1">
      <calculatedColumnFormula>SUBSTITUTE(MID(J4,4,FIND("-",J4,4)-4),"NorthEast","North")</calculatedColumnFormula>
    </tableColumn>
    <tableColumn id="13" xr3:uid="{7B74B099-5992-4D26-8A11-BA9820BFBC1E}" name="Extension " dataDxfId="0">
      <calculatedColumnFormula>RIGHT(J4,5)</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68B5800-3693-45CE-AEB2-0ACCDBB2FBAD}" name="Table3" displayName="Table3" ref="O6:P13" totalsRowShown="0">
  <autoFilter ref="O6:P13" xr:uid="{268B5800-3693-45CE-AEB2-0ACCDBB2FBAD}"/>
  <tableColumns count="2">
    <tableColumn id="1" xr3:uid="{28C9271C-693E-4D7F-BA66-BC60B9363A40}" name="Department-wise Total"/>
    <tableColumn id="2" xr3:uid="{4DD904A4-7FA0-4052-B85E-70D0B9EA449D}" name="No. of Employe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5643C1E-D9D7-4847-BD1C-4C2F1AC4E670}" name="Table5" displayName="Table5" ref="O20:P22" totalsRowShown="0">
  <autoFilter ref="O20:P22" xr:uid="{45643C1E-D9D7-4847-BD1C-4C2F1AC4E670}"/>
  <tableColumns count="2">
    <tableColumn id="1" xr3:uid="{06B3ECC7-B2A2-440A-B420-24965A6A1BFE}" name="Column1"/>
    <tableColumn id="2" xr3:uid="{B2D79F94-2CD3-46BC-A121-B3C356B638F0}" name="Column2">
      <calculatedColumnFormula>COUNTIF(Table2[Full/Part Time],"P")</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xml"/><Relationship Id="rId5" Type="http://schemas.microsoft.com/office/2007/relationships/slicer" Target="../slicers/slicer1.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0723AC-7A3F-4CE8-A977-45CED1738FE2}">
  <sheetPr codeName="Sheet1"/>
  <dimension ref="A3:P38"/>
  <sheetViews>
    <sheetView zoomScale="79" zoomScaleNormal="70" workbookViewId="0">
      <selection activeCell="J28" sqref="J28"/>
    </sheetView>
  </sheetViews>
  <sheetFormatPr defaultRowHeight="15" x14ac:dyDescent="0.25"/>
  <cols>
    <col min="1" max="1" width="11.5703125" customWidth="1"/>
    <col min="2" max="2" width="17.140625" customWidth="1"/>
    <col min="3" max="3" width="10.7109375" customWidth="1"/>
    <col min="4" max="4" width="13.7109375" customWidth="1"/>
    <col min="5" max="5" width="14" customWidth="1"/>
    <col min="6" max="6" width="13.140625" customWidth="1"/>
    <col min="7" max="7" width="28.28515625" customWidth="1"/>
    <col min="8" max="8" width="15.140625" customWidth="1"/>
    <col min="9" max="9" width="25.7109375" customWidth="1"/>
    <col min="10" max="10" width="19.42578125" customWidth="1"/>
    <col min="11" max="11" width="12.28515625" customWidth="1"/>
    <col min="13" max="13" width="13.5703125" customWidth="1"/>
    <col min="15" max="15" width="30" customWidth="1"/>
    <col min="16" max="16" width="11" customWidth="1"/>
  </cols>
  <sheetData>
    <row r="3" spans="1:16" ht="15.75" x14ac:dyDescent="0.25">
      <c r="A3" s="1" t="s">
        <v>0</v>
      </c>
      <c r="B3" s="1" t="s">
        <v>1</v>
      </c>
      <c r="C3" s="1" t="s">
        <v>2</v>
      </c>
      <c r="D3" s="1" t="s">
        <v>3</v>
      </c>
      <c r="E3" s="1" t="s">
        <v>4</v>
      </c>
      <c r="F3" s="1" t="s">
        <v>5</v>
      </c>
      <c r="G3" s="1" t="s">
        <v>6</v>
      </c>
      <c r="H3" s="1" t="s">
        <v>7</v>
      </c>
      <c r="I3" s="1" t="s">
        <v>8</v>
      </c>
      <c r="J3" s="1" t="s">
        <v>9</v>
      </c>
      <c r="K3" s="1" t="s">
        <v>10</v>
      </c>
      <c r="L3" s="1" t="s">
        <v>11</v>
      </c>
      <c r="M3" s="1" t="s">
        <v>12</v>
      </c>
    </row>
    <row r="4" spans="1:16" ht="15.75" x14ac:dyDescent="0.25">
      <c r="A4" s="2">
        <v>1180</v>
      </c>
      <c r="B4" s="2" t="s">
        <v>13</v>
      </c>
      <c r="C4" s="2" t="str">
        <f>_xlfn.TEXTJOIN( ,0,A4,B4)</f>
        <v>1180F</v>
      </c>
      <c r="D4" s="2" t="s">
        <v>14</v>
      </c>
      <c r="E4" s="3" t="s">
        <v>15</v>
      </c>
      <c r="F4" s="2" t="str">
        <f>PROPER(_xlfn.TEXTJOIN(" ",0,E4,D4))</f>
        <v>Stevie Bacata</v>
      </c>
      <c r="G4" s="2" t="str">
        <f>LOWER(LEFT(E4,1)&amp;D4&amp;"@zenco.com")</f>
        <v>sbacata@zenco.com</v>
      </c>
      <c r="H4" s="4">
        <v>39551</v>
      </c>
      <c r="I4" s="5" t="s">
        <v>16</v>
      </c>
      <c r="J4" s="5" t="s">
        <v>17</v>
      </c>
      <c r="K4" s="5" t="str">
        <f>LEFT(J4,2)</f>
        <v>02</v>
      </c>
      <c r="L4" s="2" t="str">
        <f>SUBSTITUTE(MID(J4,4,FIND("-",J4,4)-4),"NorthEast","North")</f>
        <v>West</v>
      </c>
      <c r="M4" s="2" t="str">
        <f>RIGHT(J4,5)</f>
        <v>2635 </v>
      </c>
    </row>
    <row r="5" spans="1:16" ht="15.75" x14ac:dyDescent="0.25">
      <c r="A5" s="2">
        <v>1110</v>
      </c>
      <c r="B5" s="2" t="s">
        <v>13</v>
      </c>
      <c r="C5" s="2" t="str">
        <f t="shared" ref="C5:C38" si="0">_xlfn.TEXTJOIN( ,0,A5,B5)</f>
        <v>1110F</v>
      </c>
      <c r="D5" s="2" t="s">
        <v>18</v>
      </c>
      <c r="E5" s="3" t="s">
        <v>19</v>
      </c>
      <c r="F5" s="2" t="str">
        <f t="shared" ref="F5:F38" si="1">PROPER(_xlfn.TEXTJOIN(" ",0,E5,D5))</f>
        <v>Adam Barry</v>
      </c>
      <c r="G5" s="2" t="str">
        <f t="shared" ref="G5:G38" si="2">LOWER(LEFT(E5,1)&amp;D5&amp;"@zenco.com")</f>
        <v>abarry@zenco.com</v>
      </c>
      <c r="H5" s="4">
        <v>38099</v>
      </c>
      <c r="I5" s="5" t="s">
        <v>20</v>
      </c>
      <c r="J5" s="5" t="s">
        <v>21</v>
      </c>
      <c r="K5" s="5" t="str">
        <f t="shared" ref="K5:K38" si="3">LEFT(J5,2)</f>
        <v>02</v>
      </c>
      <c r="L5" s="2" t="str">
        <f t="shared" ref="L5:L38" si="4">SUBSTITUTE(MID(J5,4,FIND("-",J5,4)-4),"NorthEast","North")</f>
        <v>West</v>
      </c>
      <c r="M5" s="2" t="str">
        <f t="shared" ref="M5:M38" si="5">RIGHT(J5,5)</f>
        <v>2018 </v>
      </c>
    </row>
    <row r="6" spans="1:16" ht="15.75" x14ac:dyDescent="0.25">
      <c r="A6" s="2">
        <v>1232</v>
      </c>
      <c r="B6" s="2" t="s">
        <v>13</v>
      </c>
      <c r="C6" s="2" t="str">
        <f t="shared" si="0"/>
        <v>1232F</v>
      </c>
      <c r="D6" s="2" t="s">
        <v>22</v>
      </c>
      <c r="E6" s="3" t="s">
        <v>23</v>
      </c>
      <c r="F6" s="2" t="str">
        <f t="shared" si="1"/>
        <v>Connor Betts</v>
      </c>
      <c r="G6" s="2" t="str">
        <f t="shared" si="2"/>
        <v>cbetts@zenco.com</v>
      </c>
      <c r="H6" s="4">
        <v>41956</v>
      </c>
      <c r="I6" s="5" t="s">
        <v>16</v>
      </c>
      <c r="J6" s="5" t="s">
        <v>24</v>
      </c>
      <c r="K6" s="5" t="str">
        <f t="shared" si="3"/>
        <v>02</v>
      </c>
      <c r="L6" s="2" t="str">
        <f t="shared" si="4"/>
        <v>North</v>
      </c>
      <c r="M6" s="2" t="str">
        <f t="shared" si="5"/>
        <v>2347 </v>
      </c>
      <c r="O6" t="s">
        <v>128</v>
      </c>
      <c r="P6" t="s">
        <v>137</v>
      </c>
    </row>
    <row r="7" spans="1:16" ht="15.75" x14ac:dyDescent="0.25">
      <c r="A7" s="2">
        <v>1243</v>
      </c>
      <c r="B7" s="2" t="s">
        <v>25</v>
      </c>
      <c r="C7" s="2" t="str">
        <f t="shared" si="0"/>
        <v>1243P</v>
      </c>
      <c r="D7" s="2" t="s">
        <v>26</v>
      </c>
      <c r="E7" s="3" t="s">
        <v>27</v>
      </c>
      <c r="F7" s="2" t="str">
        <f t="shared" si="1"/>
        <v>Fred Binga</v>
      </c>
      <c r="G7" s="2" t="str">
        <f t="shared" si="2"/>
        <v>fbinga@zenco.com</v>
      </c>
      <c r="H7" s="4">
        <v>42229</v>
      </c>
      <c r="I7" s="5" t="s">
        <v>28</v>
      </c>
      <c r="J7" s="5" t="s">
        <v>29</v>
      </c>
      <c r="K7" s="5" t="str">
        <f t="shared" si="3"/>
        <v>03</v>
      </c>
      <c r="L7" s="2" t="str">
        <f t="shared" si="4"/>
        <v>West</v>
      </c>
      <c r="M7" s="2" t="str">
        <f t="shared" si="5"/>
        <v>2764 </v>
      </c>
      <c r="O7" t="s">
        <v>129</v>
      </c>
      <c r="P7">
        <f>COUNTIF(Table2[Department],"Sales")</f>
        <v>15</v>
      </c>
    </row>
    <row r="8" spans="1:16" ht="15.75" x14ac:dyDescent="0.25">
      <c r="A8" s="2">
        <v>1248</v>
      </c>
      <c r="B8" s="2" t="s">
        <v>25</v>
      </c>
      <c r="C8" s="2" t="str">
        <f t="shared" si="0"/>
        <v>1248P</v>
      </c>
      <c r="D8" s="2" t="s">
        <v>30</v>
      </c>
      <c r="E8" s="3" t="s">
        <v>31</v>
      </c>
      <c r="F8" s="2" t="str">
        <f t="shared" si="1"/>
        <v>Yvette Biti</v>
      </c>
      <c r="G8" s="2" t="str">
        <f t="shared" si="2"/>
        <v>ybiti@zenco.com</v>
      </c>
      <c r="H8" s="4">
        <v>42384</v>
      </c>
      <c r="I8" s="5" t="s">
        <v>16</v>
      </c>
      <c r="J8" s="5" t="s">
        <v>32</v>
      </c>
      <c r="K8" s="5" t="str">
        <f t="shared" si="3"/>
        <v>02</v>
      </c>
      <c r="L8" s="2" t="str">
        <f t="shared" si="4"/>
        <v>West</v>
      </c>
      <c r="M8" s="2" t="str">
        <f t="shared" si="5"/>
        <v>589 _x001F_</v>
      </c>
      <c r="O8" t="s">
        <v>130</v>
      </c>
      <c r="P8">
        <f>COUNTIF(Table2[Department],"Accounting")</f>
        <v>4</v>
      </c>
    </row>
    <row r="9" spans="1:16" ht="15.75" x14ac:dyDescent="0.25">
      <c r="A9" s="2">
        <v>1227</v>
      </c>
      <c r="B9" s="2" t="s">
        <v>25</v>
      </c>
      <c r="C9" s="2" t="str">
        <f t="shared" si="0"/>
        <v>1227P</v>
      </c>
      <c r="D9" s="2" t="s">
        <v>33</v>
      </c>
      <c r="E9" s="3" t="s">
        <v>34</v>
      </c>
      <c r="F9" s="2" t="str">
        <f t="shared" si="1"/>
        <v>Jim Boller</v>
      </c>
      <c r="G9" s="2" t="str">
        <f t="shared" si="2"/>
        <v>jboller@zenco.com</v>
      </c>
      <c r="H9" s="4">
        <v>41893</v>
      </c>
      <c r="I9" s="5" t="s">
        <v>35</v>
      </c>
      <c r="J9" s="5" t="s">
        <v>36</v>
      </c>
      <c r="K9" s="5" t="str">
        <f t="shared" si="3"/>
        <v>03</v>
      </c>
      <c r="L9" s="2" t="str">
        <f t="shared" si="4"/>
        <v>East</v>
      </c>
      <c r="M9" s="2" t="str">
        <f t="shared" si="5"/>
        <v>2318 </v>
      </c>
      <c r="O9" t="s">
        <v>131</v>
      </c>
      <c r="P9">
        <f>COUNTIF(Table2[Department],"Customer Service")</f>
        <v>5</v>
      </c>
    </row>
    <row r="10" spans="1:16" ht="15.75" x14ac:dyDescent="0.25">
      <c r="A10" s="2">
        <v>1230</v>
      </c>
      <c r="B10" s="2" t="s">
        <v>25</v>
      </c>
      <c r="C10" s="2" t="str">
        <f t="shared" si="0"/>
        <v>1230P</v>
      </c>
      <c r="D10" s="2" t="s">
        <v>37</v>
      </c>
      <c r="E10" s="3" t="s">
        <v>38</v>
      </c>
      <c r="F10" s="2" t="str">
        <f t="shared" si="1"/>
        <v>Charlie Bui</v>
      </c>
      <c r="G10" s="2" t="str">
        <f t="shared" si="2"/>
        <v>cbui@zenco.com</v>
      </c>
      <c r="H10" s="4">
        <v>41903</v>
      </c>
      <c r="I10" s="5" t="s">
        <v>16</v>
      </c>
      <c r="J10" s="5" t="s">
        <v>39</v>
      </c>
      <c r="K10" s="5" t="str">
        <f t="shared" si="3"/>
        <v>02</v>
      </c>
      <c r="L10" s="2" t="str">
        <f t="shared" si="4"/>
        <v>East</v>
      </c>
      <c r="M10" s="2" t="str">
        <f t="shared" si="5"/>
        <v>2694 </v>
      </c>
      <c r="O10" t="s">
        <v>134</v>
      </c>
      <c r="P10">
        <f>COUNTIF(Table2[Department],"Executive")</f>
        <v>2</v>
      </c>
    </row>
    <row r="11" spans="1:16" ht="15.75" x14ac:dyDescent="0.25">
      <c r="A11" s="2">
        <v>1162</v>
      </c>
      <c r="B11" s="2" t="s">
        <v>13</v>
      </c>
      <c r="C11" s="2" t="str">
        <f t="shared" si="0"/>
        <v>1162F</v>
      </c>
      <c r="D11" s="2" t="s">
        <v>40</v>
      </c>
      <c r="E11" s="3" t="s">
        <v>41</v>
      </c>
      <c r="F11" s="2" t="str">
        <f t="shared" si="1"/>
        <v>Barbara Carlton</v>
      </c>
      <c r="G11" s="2" t="str">
        <f t="shared" si="2"/>
        <v>bcarlton@zenco.com</v>
      </c>
      <c r="H11" s="4">
        <v>38798</v>
      </c>
      <c r="I11" s="5" t="s">
        <v>16</v>
      </c>
      <c r="J11" s="5" t="s">
        <v>42</v>
      </c>
      <c r="K11" s="5" t="str">
        <f t="shared" si="3"/>
        <v>02</v>
      </c>
      <c r="L11" s="2" t="str">
        <f t="shared" si="4"/>
        <v>West</v>
      </c>
      <c r="M11" s="2" t="str">
        <f t="shared" si="5"/>
        <v>2699 </v>
      </c>
      <c r="O11" t="s">
        <v>135</v>
      </c>
      <c r="P11">
        <f>COUNTIF(Table2[Department],"Facilities")</f>
        <v>1</v>
      </c>
    </row>
    <row r="12" spans="1:16" ht="15.75" x14ac:dyDescent="0.25">
      <c r="A12" s="2">
        <v>1001</v>
      </c>
      <c r="B12" s="2" t="s">
        <v>25</v>
      </c>
      <c r="C12" s="2" t="str">
        <f t="shared" si="0"/>
        <v>1001P</v>
      </c>
      <c r="D12" s="2" t="s">
        <v>43</v>
      </c>
      <c r="E12" s="3" t="s">
        <v>44</v>
      </c>
      <c r="F12" s="2" t="str">
        <f t="shared" si="1"/>
        <v>Joe Carol</v>
      </c>
      <c r="G12" s="2" t="str">
        <f t="shared" si="2"/>
        <v>jcarol@zenco.com</v>
      </c>
      <c r="H12" s="4">
        <v>36923</v>
      </c>
      <c r="I12" s="5" t="s">
        <v>45</v>
      </c>
      <c r="J12" s="5" t="s">
        <v>46</v>
      </c>
      <c r="K12" s="5" t="str">
        <f t="shared" si="3"/>
        <v>01</v>
      </c>
      <c r="L12" s="2" t="str">
        <f t="shared" si="4"/>
        <v>East</v>
      </c>
      <c r="M12" s="2" t="str">
        <f t="shared" si="5"/>
        <v>2321 </v>
      </c>
      <c r="O12" t="s">
        <v>132</v>
      </c>
      <c r="P12">
        <f>COUNTIF(Table2[Department],"IT")</f>
        <v>5</v>
      </c>
    </row>
    <row r="13" spans="1:16" ht="15.75" x14ac:dyDescent="0.25">
      <c r="A13" s="2">
        <v>1224</v>
      </c>
      <c r="B13" s="2" t="s">
        <v>13</v>
      </c>
      <c r="C13" s="2" t="str">
        <f t="shared" si="0"/>
        <v>1224F</v>
      </c>
      <c r="D13" s="2" t="s">
        <v>47</v>
      </c>
      <c r="E13" s="3" t="s">
        <v>34</v>
      </c>
      <c r="F13" s="2" t="str">
        <f t="shared" si="1"/>
        <v>Jim Chaffee</v>
      </c>
      <c r="G13" s="2" t="str">
        <f t="shared" si="2"/>
        <v>jchaffee@zenco.com</v>
      </c>
      <c r="H13" s="4">
        <v>41787</v>
      </c>
      <c r="I13" s="5" t="s">
        <v>48</v>
      </c>
      <c r="J13" s="5" t="s">
        <v>49</v>
      </c>
      <c r="K13" s="5" t="str">
        <f t="shared" si="3"/>
        <v>03</v>
      </c>
      <c r="L13" s="2" t="str">
        <f t="shared" si="4"/>
        <v>West</v>
      </c>
      <c r="M13" s="2" t="str">
        <f t="shared" si="5"/>
        <v>2432 </v>
      </c>
      <c r="O13" t="s">
        <v>133</v>
      </c>
      <c r="P13">
        <f>COUNTIF(Table2[Department],"Human Resources")</f>
        <v>3</v>
      </c>
    </row>
    <row r="14" spans="1:16" ht="15.75" x14ac:dyDescent="0.25">
      <c r="A14" s="2">
        <v>1203</v>
      </c>
      <c r="B14" s="2" t="s">
        <v>25</v>
      </c>
      <c r="C14" s="2" t="str">
        <f t="shared" si="0"/>
        <v>1203P</v>
      </c>
      <c r="D14" s="2" t="s">
        <v>50</v>
      </c>
      <c r="E14" s="3" t="s">
        <v>51</v>
      </c>
      <c r="F14" s="2" t="str">
        <f t="shared" si="1"/>
        <v>Samantha Chairs</v>
      </c>
      <c r="G14" s="2" t="str">
        <f t="shared" si="2"/>
        <v>schairs@zenco.com</v>
      </c>
      <c r="H14" s="4">
        <v>40595</v>
      </c>
      <c r="I14" s="5" t="s">
        <v>16</v>
      </c>
      <c r="J14" s="5" t="s">
        <v>52</v>
      </c>
      <c r="K14" s="5" t="str">
        <f t="shared" si="3"/>
        <v>02</v>
      </c>
      <c r="L14" s="2" t="str">
        <f t="shared" si="4"/>
        <v>West</v>
      </c>
      <c r="M14" s="2" t="str">
        <f t="shared" si="5"/>
        <v>2962 </v>
      </c>
    </row>
    <row r="15" spans="1:16" ht="15.75" x14ac:dyDescent="0.25">
      <c r="A15" s="2">
        <v>1211</v>
      </c>
      <c r="B15" s="2" t="s">
        <v>25</v>
      </c>
      <c r="C15" s="2" t="str">
        <f t="shared" si="0"/>
        <v>1211P</v>
      </c>
      <c r="D15" s="2" t="s">
        <v>53</v>
      </c>
      <c r="E15" s="3" t="s">
        <v>54</v>
      </c>
      <c r="F15" s="2" t="str">
        <f t="shared" si="1"/>
        <v>Uma Chaudri</v>
      </c>
      <c r="G15" s="2" t="str">
        <f t="shared" si="2"/>
        <v>uchaudri@zenco.com</v>
      </c>
      <c r="H15" s="4">
        <v>40994</v>
      </c>
      <c r="I15" s="5" t="s">
        <v>28</v>
      </c>
      <c r="J15" s="5" t="s">
        <v>55</v>
      </c>
      <c r="K15" s="5" t="str">
        <f t="shared" si="3"/>
        <v>03</v>
      </c>
      <c r="L15" s="2" t="str">
        <f t="shared" si="4"/>
        <v>East</v>
      </c>
      <c r="M15" s="2" t="str">
        <f t="shared" si="5"/>
        <v>134 _x001F_</v>
      </c>
    </row>
    <row r="16" spans="1:16" ht="15.75" x14ac:dyDescent="0.25">
      <c r="A16" s="2">
        <v>1198</v>
      </c>
      <c r="B16" s="2" t="s">
        <v>25</v>
      </c>
      <c r="C16" s="2" t="str">
        <f t="shared" si="0"/>
        <v>1198P</v>
      </c>
      <c r="D16" s="2" t="s">
        <v>56</v>
      </c>
      <c r="E16" s="3" t="s">
        <v>57</v>
      </c>
      <c r="F16" s="2" t="str">
        <f t="shared" si="1"/>
        <v>Elizabeth Chu</v>
      </c>
      <c r="G16" s="2" t="str">
        <f t="shared" si="2"/>
        <v>echu@zenco.com</v>
      </c>
      <c r="H16" s="4">
        <v>40220</v>
      </c>
      <c r="I16" s="5" t="s">
        <v>58</v>
      </c>
      <c r="J16" s="5" t="s">
        <v>59</v>
      </c>
      <c r="K16" s="5" t="str">
        <f t="shared" si="3"/>
        <v>01</v>
      </c>
      <c r="L16" s="2" t="str">
        <f t="shared" si="4"/>
        <v>West</v>
      </c>
      <c r="M16" s="2" t="str">
        <f t="shared" si="5"/>
        <v>2425 </v>
      </c>
    </row>
    <row r="17" spans="1:16" ht="15.75" x14ac:dyDescent="0.25">
      <c r="A17" s="2">
        <v>1003</v>
      </c>
      <c r="B17" s="2" t="s">
        <v>13</v>
      </c>
      <c r="C17" s="2" t="str">
        <f t="shared" si="0"/>
        <v>1003F</v>
      </c>
      <c r="D17" s="2" t="s">
        <v>60</v>
      </c>
      <c r="E17" s="3" t="s">
        <v>61</v>
      </c>
      <c r="F17" s="2" t="str">
        <f t="shared" si="1"/>
        <v>Eric Chung</v>
      </c>
      <c r="G17" s="2" t="str">
        <f t="shared" si="2"/>
        <v>echung@zenco.com</v>
      </c>
      <c r="H17" s="4">
        <v>36949</v>
      </c>
      <c r="I17" s="5" t="s">
        <v>58</v>
      </c>
      <c r="J17" s="5" t="s">
        <v>62</v>
      </c>
      <c r="K17" s="5" t="str">
        <f t="shared" si="3"/>
        <v>03</v>
      </c>
      <c r="L17" s="2" t="str">
        <f t="shared" si="4"/>
        <v>West</v>
      </c>
      <c r="M17" s="2" t="str">
        <f t="shared" si="5"/>
        <v>2796 </v>
      </c>
    </row>
    <row r="18" spans="1:16" ht="15.75" x14ac:dyDescent="0.25">
      <c r="A18" s="2">
        <v>1235</v>
      </c>
      <c r="B18" s="2" t="s">
        <v>13</v>
      </c>
      <c r="C18" s="2" t="str">
        <f t="shared" si="0"/>
        <v>1235F</v>
      </c>
      <c r="D18" s="2" t="s">
        <v>63</v>
      </c>
      <c r="E18" s="3" t="s">
        <v>64</v>
      </c>
      <c r="F18" s="2" t="str">
        <f t="shared" si="1"/>
        <v>Anna Clark</v>
      </c>
      <c r="G18" s="2" t="str">
        <f t="shared" si="2"/>
        <v>aclark@zenco.com</v>
      </c>
      <c r="H18" s="4">
        <v>41989</v>
      </c>
      <c r="I18" s="5" t="s">
        <v>35</v>
      </c>
      <c r="J18" s="5" t="s">
        <v>65</v>
      </c>
      <c r="K18" s="5" t="str">
        <f t="shared" si="3"/>
        <v>03</v>
      </c>
      <c r="L18" s="2" t="str">
        <f t="shared" si="4"/>
        <v>West</v>
      </c>
      <c r="M18" s="2" t="str">
        <f t="shared" si="5"/>
        <v>2601 </v>
      </c>
    </row>
    <row r="19" spans="1:16" ht="15.75" x14ac:dyDescent="0.25">
      <c r="A19" s="2">
        <v>1253</v>
      </c>
      <c r="B19" s="2" t="s">
        <v>25</v>
      </c>
      <c r="C19" s="2" t="str">
        <f t="shared" si="0"/>
        <v>1253P</v>
      </c>
      <c r="D19" s="2" t="s">
        <v>63</v>
      </c>
      <c r="E19" s="3" t="s">
        <v>66</v>
      </c>
      <c r="F19" s="2" t="str">
        <f t="shared" si="1"/>
        <v>Elizabeth Clark</v>
      </c>
      <c r="G19" s="2" t="str">
        <f t="shared" si="2"/>
        <v>eclark@zenco.com</v>
      </c>
      <c r="H19" s="4">
        <v>42905</v>
      </c>
      <c r="I19" s="5" t="s">
        <v>20</v>
      </c>
      <c r="J19" s="5" t="s">
        <v>67</v>
      </c>
      <c r="K19" s="5" t="str">
        <f t="shared" si="3"/>
        <v>02</v>
      </c>
      <c r="L19" s="2" t="str">
        <f t="shared" si="4"/>
        <v>North</v>
      </c>
      <c r="M19" s="2" t="str">
        <f t="shared" si="5"/>
        <v>2414 </v>
      </c>
      <c r="O19" t="s">
        <v>125</v>
      </c>
      <c r="P19">
        <f>COUNT(Table2[Emp No.])</f>
        <v>35</v>
      </c>
    </row>
    <row r="20" spans="1:16" ht="15.75" x14ac:dyDescent="0.25">
      <c r="A20" s="2">
        <v>1221</v>
      </c>
      <c r="B20" s="2" t="s">
        <v>25</v>
      </c>
      <c r="C20" s="2" t="str">
        <f t="shared" si="0"/>
        <v>1221P</v>
      </c>
      <c r="D20" s="2" t="s">
        <v>68</v>
      </c>
      <c r="E20" s="3" t="s">
        <v>69</v>
      </c>
      <c r="F20" s="2" t="str">
        <f t="shared" si="1"/>
        <v>Sabrina Cole</v>
      </c>
      <c r="G20" s="2" t="str">
        <f t="shared" si="2"/>
        <v>scole@zenco.com</v>
      </c>
      <c r="H20" s="4">
        <v>41401</v>
      </c>
      <c r="I20" s="5" t="s">
        <v>20</v>
      </c>
      <c r="J20" s="5" t="s">
        <v>70</v>
      </c>
      <c r="K20" s="5" t="str">
        <f t="shared" si="3"/>
        <v>02</v>
      </c>
      <c r="L20" s="2" t="str">
        <f t="shared" si="4"/>
        <v>West</v>
      </c>
      <c r="M20" s="2" t="str">
        <f t="shared" si="5"/>
        <v>2537 </v>
      </c>
      <c r="O20" t="s">
        <v>136</v>
      </c>
      <c r="P20" t="s">
        <v>139</v>
      </c>
    </row>
    <row r="21" spans="1:16" ht="15.75" x14ac:dyDescent="0.25">
      <c r="A21" s="2">
        <v>1186</v>
      </c>
      <c r="B21" s="2" t="s">
        <v>13</v>
      </c>
      <c r="C21" s="2" t="str">
        <f t="shared" si="0"/>
        <v>1186F</v>
      </c>
      <c r="D21" s="2" t="s">
        <v>71</v>
      </c>
      <c r="E21" s="3" t="s">
        <v>72</v>
      </c>
      <c r="F21" s="2" t="str">
        <f t="shared" si="1"/>
        <v>Janet Comuntzis</v>
      </c>
      <c r="G21" s="2" t="str">
        <f t="shared" si="2"/>
        <v>jcomuntzis@zenco.com</v>
      </c>
      <c r="H21" s="4">
        <v>39686</v>
      </c>
      <c r="I21" s="5" t="s">
        <v>20</v>
      </c>
      <c r="J21" s="5" t="s">
        <v>73</v>
      </c>
      <c r="K21" s="5" t="str">
        <f t="shared" si="3"/>
        <v>02</v>
      </c>
      <c r="L21" s="2" t="str">
        <f t="shared" si="4"/>
        <v>West</v>
      </c>
      <c r="M21" s="2" t="str">
        <f t="shared" si="5"/>
        <v>2286 </v>
      </c>
      <c r="O21" t="s">
        <v>126</v>
      </c>
      <c r="P21">
        <f>COUNTIF(Table2[Full/Part Time],"F")</f>
        <v>17</v>
      </c>
    </row>
    <row r="22" spans="1:16" ht="15.75" x14ac:dyDescent="0.25">
      <c r="A22" s="2">
        <v>1218</v>
      </c>
      <c r="B22" s="2" t="s">
        <v>25</v>
      </c>
      <c r="C22" s="2" t="str">
        <f t="shared" si="0"/>
        <v>1218P</v>
      </c>
      <c r="D22" s="2" t="s">
        <v>74</v>
      </c>
      <c r="E22" s="3" t="s">
        <v>75</v>
      </c>
      <c r="F22" s="2" t="str">
        <f t="shared" si="1"/>
        <v>Bob Decker</v>
      </c>
      <c r="G22" s="2" t="str">
        <f t="shared" si="2"/>
        <v>bdecker@zenco.com</v>
      </c>
      <c r="H22" s="4">
        <v>41210</v>
      </c>
      <c r="I22" s="5" t="s">
        <v>58</v>
      </c>
      <c r="J22" s="5" t="s">
        <v>76</v>
      </c>
      <c r="K22" s="5" t="str">
        <f t="shared" si="3"/>
        <v>01</v>
      </c>
      <c r="L22" s="2" t="str">
        <f t="shared" si="4"/>
        <v>East</v>
      </c>
      <c r="M22" s="2" t="str">
        <f t="shared" si="5"/>
        <v>086 _x001F_</v>
      </c>
      <c r="O22" t="s">
        <v>127</v>
      </c>
      <c r="P22">
        <f>COUNTIF(Table2[Full/Part Time],"P")</f>
        <v>18</v>
      </c>
    </row>
    <row r="23" spans="1:16" ht="15.75" x14ac:dyDescent="0.25">
      <c r="A23" s="2">
        <v>1215</v>
      </c>
      <c r="B23" s="2" t="s">
        <v>13</v>
      </c>
      <c r="C23" s="2" t="str">
        <f t="shared" si="0"/>
        <v>1215F</v>
      </c>
      <c r="D23" s="2" t="s">
        <v>77</v>
      </c>
      <c r="E23" s="3" t="s">
        <v>78</v>
      </c>
      <c r="F23" s="2" t="str">
        <f t="shared" si="1"/>
        <v>Tina Desiato</v>
      </c>
      <c r="G23" s="2" t="str">
        <f t="shared" si="2"/>
        <v>tdesiato@zenco.com</v>
      </c>
      <c r="H23" s="4">
        <v>41175</v>
      </c>
      <c r="I23" s="2" t="s">
        <v>58</v>
      </c>
      <c r="J23" s="5" t="s">
        <v>79</v>
      </c>
      <c r="K23" s="5" t="str">
        <f t="shared" si="3"/>
        <v>01</v>
      </c>
      <c r="L23" s="2" t="str">
        <f t="shared" si="4"/>
        <v>East</v>
      </c>
      <c r="M23" s="2" t="str">
        <f t="shared" si="5"/>
        <v>2358 </v>
      </c>
      <c r="O23" t="s">
        <v>138</v>
      </c>
      <c r="P23" s="6">
        <f>P21/P19</f>
        <v>0.48571428571428571</v>
      </c>
    </row>
    <row r="24" spans="1:16" ht="15.75" x14ac:dyDescent="0.25">
      <c r="A24" s="2">
        <v>1241</v>
      </c>
      <c r="B24" s="2" t="s">
        <v>25</v>
      </c>
      <c r="C24" s="2" t="str">
        <f t="shared" si="0"/>
        <v>1241P</v>
      </c>
      <c r="D24" s="2" t="s">
        <v>80</v>
      </c>
      <c r="E24" s="3" t="s">
        <v>81</v>
      </c>
      <c r="F24" s="2" t="str">
        <f t="shared" si="1"/>
        <v>Alexandra Donnell</v>
      </c>
      <c r="G24" s="2" t="str">
        <f t="shared" si="2"/>
        <v>adonnell@zenco.com</v>
      </c>
      <c r="H24" s="4">
        <v>42228</v>
      </c>
      <c r="I24" s="5" t="s">
        <v>35</v>
      </c>
      <c r="J24" s="5" t="s">
        <v>82</v>
      </c>
      <c r="K24" s="5" t="str">
        <f t="shared" si="3"/>
        <v>03</v>
      </c>
      <c r="L24" s="2" t="str">
        <f t="shared" si="4"/>
        <v>West</v>
      </c>
      <c r="M24" s="2" t="str">
        <f t="shared" si="5"/>
        <v>2082 </v>
      </c>
    </row>
    <row r="25" spans="1:16" ht="15.75" x14ac:dyDescent="0.25">
      <c r="A25" s="2">
        <v>1246</v>
      </c>
      <c r="B25" s="2" t="s">
        <v>13</v>
      </c>
      <c r="C25" s="2" t="str">
        <f t="shared" si="0"/>
        <v>1246F</v>
      </c>
      <c r="D25" s="2" t="s">
        <v>83</v>
      </c>
      <c r="E25" s="3" t="s">
        <v>84</v>
      </c>
      <c r="F25" s="2" t="str">
        <f t="shared" si="1"/>
        <v>Mark Ellis</v>
      </c>
      <c r="G25" s="2" t="str">
        <f t="shared" si="2"/>
        <v>mellis@zenco.com</v>
      </c>
      <c r="H25" s="4">
        <v>42371</v>
      </c>
      <c r="I25" s="5" t="s">
        <v>58</v>
      </c>
      <c r="J25" s="5" t="s">
        <v>85</v>
      </c>
      <c r="K25" s="5" t="str">
        <f t="shared" si="3"/>
        <v>03</v>
      </c>
      <c r="L25" s="2" t="str">
        <f t="shared" si="4"/>
        <v>North</v>
      </c>
      <c r="M25" s="2" t="str">
        <f t="shared" si="5"/>
        <v>2482 </v>
      </c>
    </row>
    <row r="26" spans="1:16" ht="15.75" x14ac:dyDescent="0.25">
      <c r="A26" s="2">
        <v>1172</v>
      </c>
      <c r="B26" s="2" t="s">
        <v>13</v>
      </c>
      <c r="C26" s="2" t="str">
        <f t="shared" si="0"/>
        <v>1172F</v>
      </c>
      <c r="D26" s="2" t="s">
        <v>86</v>
      </c>
      <c r="E26" s="3" t="s">
        <v>87</v>
      </c>
      <c r="F26" s="2" t="str">
        <f t="shared" si="1"/>
        <v>Nicholas Fernandes</v>
      </c>
      <c r="G26" s="2" t="str">
        <f t="shared" si="2"/>
        <v>nfernandes@zenco.com</v>
      </c>
      <c r="H26" s="4">
        <v>39023</v>
      </c>
      <c r="I26" s="5" t="s">
        <v>35</v>
      </c>
      <c r="J26" s="5" t="s">
        <v>88</v>
      </c>
      <c r="K26" s="5" t="str">
        <f t="shared" si="3"/>
        <v>02</v>
      </c>
      <c r="L26" s="2" t="str">
        <f t="shared" si="4"/>
        <v>East</v>
      </c>
      <c r="M26" s="2" t="str">
        <f t="shared" si="5"/>
        <v>2372 </v>
      </c>
    </row>
    <row r="27" spans="1:16" ht="15.75" x14ac:dyDescent="0.25">
      <c r="A27" s="2">
        <v>1134</v>
      </c>
      <c r="B27" s="2" t="s">
        <v>13</v>
      </c>
      <c r="C27" s="2" t="str">
        <f t="shared" si="0"/>
        <v>1134F</v>
      </c>
      <c r="D27" s="2" t="s">
        <v>89</v>
      </c>
      <c r="E27" s="3" t="s">
        <v>90</v>
      </c>
      <c r="F27" s="2" t="str">
        <f t="shared" si="1"/>
        <v>Mary Ferris</v>
      </c>
      <c r="G27" s="2" t="str">
        <f t="shared" si="2"/>
        <v>mferris@zenco.com</v>
      </c>
      <c r="H27" s="4">
        <v>38548</v>
      </c>
      <c r="I27" s="5" t="s">
        <v>16</v>
      </c>
      <c r="J27" s="5" t="s">
        <v>91</v>
      </c>
      <c r="K27" s="5" t="str">
        <f t="shared" si="3"/>
        <v>03</v>
      </c>
      <c r="L27" s="2" t="str">
        <f t="shared" si="4"/>
        <v>East</v>
      </c>
      <c r="M27" s="2" t="str">
        <f t="shared" si="5"/>
        <v>2392 </v>
      </c>
    </row>
    <row r="28" spans="1:16" ht="15.75" x14ac:dyDescent="0.25">
      <c r="A28" s="2">
        <v>1150</v>
      </c>
      <c r="B28" s="2" t="s">
        <v>13</v>
      </c>
      <c r="C28" s="2" t="str">
        <f t="shared" si="0"/>
        <v>1150F</v>
      </c>
      <c r="D28" s="2" t="s">
        <v>92</v>
      </c>
      <c r="E28" s="3" t="s">
        <v>93</v>
      </c>
      <c r="F28" s="2" t="str">
        <f t="shared" si="1"/>
        <v>Susan Filosa</v>
      </c>
      <c r="G28" s="2" t="str">
        <f t="shared" si="2"/>
        <v>sfilosa@zenco.com</v>
      </c>
      <c r="H28" s="4">
        <v>38744</v>
      </c>
      <c r="I28" s="5" t="s">
        <v>20</v>
      </c>
      <c r="J28" s="5" t="s">
        <v>94</v>
      </c>
      <c r="K28" s="5" t="str">
        <f t="shared" si="3"/>
        <v>02</v>
      </c>
      <c r="L28" s="2" t="str">
        <f t="shared" si="4"/>
        <v>West</v>
      </c>
      <c r="M28" s="2" t="str">
        <f t="shared" si="5"/>
        <v>2279 </v>
      </c>
    </row>
    <row r="29" spans="1:16" ht="15.75" x14ac:dyDescent="0.25">
      <c r="A29" s="2">
        <v>1004</v>
      </c>
      <c r="B29" s="2" t="s">
        <v>25</v>
      </c>
      <c r="C29" s="2" t="str">
        <f t="shared" si="0"/>
        <v>1004P</v>
      </c>
      <c r="D29" s="2" t="s">
        <v>95</v>
      </c>
      <c r="E29" s="3" t="s">
        <v>96</v>
      </c>
      <c r="F29" s="2" t="str">
        <f t="shared" si="1"/>
        <v>Daniel Flanders</v>
      </c>
      <c r="G29" s="2" t="str">
        <f t="shared" si="2"/>
        <v>dflanders@zenco.com</v>
      </c>
      <c r="H29" s="4">
        <v>37510</v>
      </c>
      <c r="I29" s="5" t="s">
        <v>16</v>
      </c>
      <c r="J29" s="5" t="s">
        <v>97</v>
      </c>
      <c r="K29" s="5" t="str">
        <f t="shared" si="3"/>
        <v>02</v>
      </c>
      <c r="L29" s="2" t="str">
        <f t="shared" si="4"/>
        <v>East</v>
      </c>
      <c r="M29" s="2" t="str">
        <f t="shared" si="5"/>
        <v>2639 </v>
      </c>
    </row>
    <row r="30" spans="1:16" ht="15.75" x14ac:dyDescent="0.25">
      <c r="A30" s="2">
        <v>1239</v>
      </c>
      <c r="B30" s="2" t="s">
        <v>13</v>
      </c>
      <c r="C30" s="2" t="str">
        <f t="shared" si="0"/>
        <v>1239F</v>
      </c>
      <c r="D30" s="2" t="s">
        <v>98</v>
      </c>
      <c r="E30" s="3" t="s">
        <v>99</v>
      </c>
      <c r="F30" s="2" t="str">
        <f t="shared" si="1"/>
        <v>Leighton Forrest</v>
      </c>
      <c r="G30" s="2" t="str">
        <f t="shared" si="2"/>
        <v>lforrest@zenco.com</v>
      </c>
      <c r="H30" s="4">
        <v>42120</v>
      </c>
      <c r="I30" s="5" t="s">
        <v>16</v>
      </c>
      <c r="J30" s="5" t="s">
        <v>100</v>
      </c>
      <c r="K30" s="5" t="str">
        <f t="shared" si="3"/>
        <v>02</v>
      </c>
      <c r="L30" s="2" t="str">
        <f t="shared" si="4"/>
        <v>East</v>
      </c>
      <c r="M30" s="2" t="str">
        <f t="shared" si="5"/>
        <v>2284 </v>
      </c>
    </row>
    <row r="31" spans="1:16" ht="15.75" x14ac:dyDescent="0.25">
      <c r="A31" s="2">
        <v>1250</v>
      </c>
      <c r="B31" s="2" t="s">
        <v>13</v>
      </c>
      <c r="C31" s="2" t="str">
        <f t="shared" si="0"/>
        <v>1250F</v>
      </c>
      <c r="D31" s="2" t="s">
        <v>101</v>
      </c>
      <c r="E31" s="3" t="s">
        <v>102</v>
      </c>
      <c r="F31" s="2" t="str">
        <f t="shared" si="1"/>
        <v>Phoebe Gour</v>
      </c>
      <c r="G31" s="2" t="str">
        <f t="shared" si="2"/>
        <v>pgour@zenco.com</v>
      </c>
      <c r="H31" s="4">
        <v>42721</v>
      </c>
      <c r="I31" s="5" t="s">
        <v>16</v>
      </c>
      <c r="J31" s="5" t="s">
        <v>103</v>
      </c>
      <c r="K31" s="5" t="str">
        <f t="shared" si="3"/>
        <v>02</v>
      </c>
      <c r="L31" s="2" t="str">
        <f t="shared" si="4"/>
        <v>East</v>
      </c>
      <c r="M31" s="2" t="str">
        <f t="shared" si="5"/>
        <v>2910 </v>
      </c>
    </row>
    <row r="32" spans="1:16" ht="15.75" x14ac:dyDescent="0.25">
      <c r="A32" s="2">
        <v>1192</v>
      </c>
      <c r="B32" s="2" t="s">
        <v>25</v>
      </c>
      <c r="C32" s="2" t="str">
        <f t="shared" si="0"/>
        <v>1192P</v>
      </c>
      <c r="D32" s="2" t="s">
        <v>104</v>
      </c>
      <c r="E32" s="3" t="s">
        <v>105</v>
      </c>
      <c r="F32" s="2" t="str">
        <f t="shared" si="1"/>
        <v>Mihael Khan</v>
      </c>
      <c r="G32" s="2" t="str">
        <f t="shared" si="2"/>
        <v>mkhan@zenco.com</v>
      </c>
      <c r="H32" s="4">
        <v>40160</v>
      </c>
      <c r="I32" s="5" t="s">
        <v>16</v>
      </c>
      <c r="J32" s="5" t="s">
        <v>106</v>
      </c>
      <c r="K32" s="5" t="str">
        <f t="shared" si="3"/>
        <v>02</v>
      </c>
      <c r="L32" s="2" t="str">
        <f t="shared" si="4"/>
        <v>North</v>
      </c>
      <c r="M32" s="2" t="str">
        <f t="shared" si="5"/>
        <v>2294 </v>
      </c>
    </row>
    <row r="33" spans="1:13" ht="15.75" x14ac:dyDescent="0.25">
      <c r="A33" s="2">
        <v>1249</v>
      </c>
      <c r="B33" s="2" t="s">
        <v>25</v>
      </c>
      <c r="C33" s="2" t="str">
        <f t="shared" si="0"/>
        <v>1249P</v>
      </c>
      <c r="D33" s="2" t="s">
        <v>107</v>
      </c>
      <c r="E33" s="3" t="s">
        <v>108</v>
      </c>
      <c r="F33" s="2" t="str">
        <f t="shared" si="1"/>
        <v>Sean Sanders</v>
      </c>
      <c r="G33" s="2" t="str">
        <f t="shared" si="2"/>
        <v>ssanders@zenco.com</v>
      </c>
      <c r="H33" s="4">
        <v>42691</v>
      </c>
      <c r="I33" s="5" t="s">
        <v>28</v>
      </c>
      <c r="J33" s="5" t="s">
        <v>109</v>
      </c>
      <c r="K33" s="5" t="str">
        <f t="shared" si="3"/>
        <v>03</v>
      </c>
      <c r="L33" s="2" t="str">
        <f t="shared" si="4"/>
        <v>West</v>
      </c>
      <c r="M33" s="2" t="str">
        <f t="shared" si="5"/>
        <v>2765 </v>
      </c>
    </row>
    <row r="34" spans="1:13" ht="15.75" x14ac:dyDescent="0.25">
      <c r="A34" s="2">
        <v>1245</v>
      </c>
      <c r="B34" s="2" t="s">
        <v>25</v>
      </c>
      <c r="C34" s="2" t="str">
        <f t="shared" si="0"/>
        <v>1245P</v>
      </c>
      <c r="D34" s="2" t="s">
        <v>110</v>
      </c>
      <c r="E34" s="3" t="s">
        <v>111</v>
      </c>
      <c r="F34" s="2" t="str">
        <f t="shared" si="1"/>
        <v>Preston Senome</v>
      </c>
      <c r="G34" s="2" t="str">
        <f t="shared" si="2"/>
        <v>psenome@zenco.com</v>
      </c>
      <c r="H34" s="4">
        <v>42324</v>
      </c>
      <c r="I34" s="5" t="s">
        <v>16</v>
      </c>
      <c r="J34" s="5" t="s">
        <v>112</v>
      </c>
      <c r="K34" s="5" t="str">
        <f t="shared" si="3"/>
        <v>02</v>
      </c>
      <c r="L34" s="2" t="str">
        <f t="shared" si="4"/>
        <v>East</v>
      </c>
      <c r="M34" s="2" t="str">
        <f t="shared" si="5"/>
        <v>2260 </v>
      </c>
    </row>
    <row r="35" spans="1:13" ht="15.75" x14ac:dyDescent="0.25">
      <c r="A35" s="2">
        <v>1207</v>
      </c>
      <c r="B35" s="2" t="s">
        <v>25</v>
      </c>
      <c r="C35" s="2" t="str">
        <f t="shared" si="0"/>
        <v>1207P</v>
      </c>
      <c r="D35" s="2" t="s">
        <v>113</v>
      </c>
      <c r="E35" s="3" t="s">
        <v>114</v>
      </c>
      <c r="F35" s="2" t="str">
        <f t="shared" si="1"/>
        <v>Natasha Song</v>
      </c>
      <c r="G35" s="2" t="str">
        <f t="shared" si="2"/>
        <v>nsong@zenco.com</v>
      </c>
      <c r="H35" s="4">
        <v>40713</v>
      </c>
      <c r="I35" s="5" t="s">
        <v>16</v>
      </c>
      <c r="J35" s="5" t="s">
        <v>115</v>
      </c>
      <c r="K35" s="5" t="str">
        <f t="shared" si="3"/>
        <v>02</v>
      </c>
      <c r="L35" s="2" t="str">
        <f t="shared" si="4"/>
        <v>East</v>
      </c>
      <c r="M35" s="2" t="str">
        <f t="shared" si="5"/>
        <v>2578 </v>
      </c>
    </row>
    <row r="36" spans="1:13" ht="15.75" x14ac:dyDescent="0.25">
      <c r="A36" s="2">
        <v>1244</v>
      </c>
      <c r="B36" s="2" t="s">
        <v>25</v>
      </c>
      <c r="C36" s="2" t="str">
        <f t="shared" si="0"/>
        <v>1244P</v>
      </c>
      <c r="D36" s="2" t="s">
        <v>116</v>
      </c>
      <c r="E36" s="3" t="s">
        <v>117</v>
      </c>
      <c r="F36" s="2" t="str">
        <f t="shared" si="1"/>
        <v>Radhya Staples</v>
      </c>
      <c r="G36" s="2" t="str">
        <f t="shared" si="2"/>
        <v>rstaples@zenco.com</v>
      </c>
      <c r="H36" s="4">
        <v>42321</v>
      </c>
      <c r="I36" s="5" t="s">
        <v>16</v>
      </c>
      <c r="J36" s="5" t="s">
        <v>118</v>
      </c>
      <c r="K36" s="5" t="str">
        <f t="shared" si="3"/>
        <v>02</v>
      </c>
      <c r="L36" s="2" t="str">
        <f t="shared" si="4"/>
        <v>East</v>
      </c>
      <c r="M36" s="2" t="str">
        <f t="shared" si="5"/>
        <v>2654 </v>
      </c>
    </row>
    <row r="37" spans="1:13" ht="15.75" x14ac:dyDescent="0.25">
      <c r="A37" s="2">
        <v>1252</v>
      </c>
      <c r="B37" s="2" t="s">
        <v>13</v>
      </c>
      <c r="C37" s="2" t="str">
        <f t="shared" si="0"/>
        <v>1252F</v>
      </c>
      <c r="D37" s="2" t="s">
        <v>119</v>
      </c>
      <c r="E37" s="3" t="s">
        <v>120</v>
      </c>
      <c r="F37" s="2" t="str">
        <f t="shared" si="1"/>
        <v>Mei Wang</v>
      </c>
      <c r="G37" s="2" t="str">
        <f t="shared" si="2"/>
        <v>mwang@zenco.com</v>
      </c>
      <c r="H37" s="4">
        <v>40188</v>
      </c>
      <c r="I37" s="5" t="s">
        <v>45</v>
      </c>
      <c r="J37" s="5" t="s">
        <v>121</v>
      </c>
      <c r="K37" s="5" t="str">
        <f t="shared" si="3"/>
        <v>01</v>
      </c>
      <c r="L37" s="2" t="str">
        <f t="shared" si="4"/>
        <v>West</v>
      </c>
      <c r="M37" s="2" t="str">
        <f t="shared" si="5"/>
        <v>2783 </v>
      </c>
    </row>
    <row r="38" spans="1:13" ht="15.75" x14ac:dyDescent="0.25">
      <c r="A38" s="2">
        <v>1237</v>
      </c>
      <c r="B38" s="2" t="s">
        <v>13</v>
      </c>
      <c r="C38" s="2" t="str">
        <f t="shared" si="0"/>
        <v>1237F</v>
      </c>
      <c r="D38" s="2" t="s">
        <v>122</v>
      </c>
      <c r="E38" s="3" t="s">
        <v>123</v>
      </c>
      <c r="F38" s="2" t="str">
        <f t="shared" si="1"/>
        <v>Aanya Zhang</v>
      </c>
      <c r="G38" s="2" t="str">
        <f t="shared" si="2"/>
        <v>azhang@zenco.com</v>
      </c>
      <c r="H38" s="4">
        <v>42002</v>
      </c>
      <c r="I38" s="5" t="s">
        <v>16</v>
      </c>
      <c r="J38" s="5" t="s">
        <v>124</v>
      </c>
      <c r="K38" s="5" t="str">
        <f t="shared" si="3"/>
        <v>02</v>
      </c>
      <c r="L38" s="2" t="str">
        <f t="shared" si="4"/>
        <v>East</v>
      </c>
      <c r="M38" s="2" t="str">
        <f t="shared" si="5"/>
        <v>2793 </v>
      </c>
    </row>
  </sheetData>
  <pageMargins left="0.7" right="0.7" top="0.75" bottom="0.75" header="0.3" footer="0.3"/>
  <drawing r:id="rId1"/>
  <tableParts count="3">
    <tablePart r:id="rId2"/>
    <tablePart r:id="rId3"/>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9A4C3-6C31-48CA-9AFD-0655CC9DA53F}">
  <sheetPr codeName="Sheet2"/>
  <dimension ref="A3:F17"/>
  <sheetViews>
    <sheetView topLeftCell="B1" workbookViewId="0">
      <selection activeCell="R10" sqref="R10"/>
    </sheetView>
  </sheetViews>
  <sheetFormatPr defaultRowHeight="15" x14ac:dyDescent="0.25"/>
  <cols>
    <col min="1" max="1" width="16.85546875" bestFit="1" customWidth="1"/>
    <col min="2" max="2" width="16.5703125" bestFit="1" customWidth="1"/>
    <col min="5" max="5" width="13.140625" bestFit="1" customWidth="1"/>
    <col min="6" max="6" width="16.5703125" bestFit="1" customWidth="1"/>
  </cols>
  <sheetData>
    <row r="3" spans="1:6" x14ac:dyDescent="0.25">
      <c r="A3" s="7" t="s">
        <v>141</v>
      </c>
      <c r="B3" t="s">
        <v>143</v>
      </c>
      <c r="E3" s="7" t="s">
        <v>141</v>
      </c>
      <c r="F3" t="s">
        <v>143</v>
      </c>
    </row>
    <row r="4" spans="1:6" x14ac:dyDescent="0.25">
      <c r="A4" s="8" t="s">
        <v>35</v>
      </c>
      <c r="B4">
        <v>4</v>
      </c>
      <c r="E4" s="8" t="s">
        <v>13</v>
      </c>
      <c r="F4">
        <v>17</v>
      </c>
    </row>
    <row r="5" spans="1:6" x14ac:dyDescent="0.25">
      <c r="A5" s="8" t="s">
        <v>20</v>
      </c>
      <c r="B5">
        <v>5</v>
      </c>
      <c r="E5" s="8" t="s">
        <v>25</v>
      </c>
      <c r="F5">
        <v>18</v>
      </c>
    </row>
    <row r="6" spans="1:6" x14ac:dyDescent="0.25">
      <c r="A6" s="8" t="s">
        <v>45</v>
      </c>
      <c r="B6">
        <v>2</v>
      </c>
      <c r="E6" s="8" t="s">
        <v>142</v>
      </c>
      <c r="F6">
        <v>35</v>
      </c>
    </row>
    <row r="7" spans="1:6" x14ac:dyDescent="0.25">
      <c r="A7" s="8" t="s">
        <v>48</v>
      </c>
      <c r="B7">
        <v>1</v>
      </c>
    </row>
    <row r="8" spans="1:6" x14ac:dyDescent="0.25">
      <c r="A8" s="8" t="s">
        <v>28</v>
      </c>
      <c r="B8">
        <v>3</v>
      </c>
    </row>
    <row r="9" spans="1:6" x14ac:dyDescent="0.25">
      <c r="A9" s="8" t="s">
        <v>58</v>
      </c>
      <c r="B9">
        <v>5</v>
      </c>
      <c r="E9" s="7" t="s">
        <v>141</v>
      </c>
      <c r="F9" t="s">
        <v>140</v>
      </c>
    </row>
    <row r="10" spans="1:6" x14ac:dyDescent="0.25">
      <c r="A10" s="8" t="s">
        <v>16</v>
      </c>
      <c r="B10">
        <v>15</v>
      </c>
      <c r="E10" s="8" t="s">
        <v>35</v>
      </c>
      <c r="F10">
        <v>4875</v>
      </c>
    </row>
    <row r="11" spans="1:6" x14ac:dyDescent="0.25">
      <c r="A11" s="8" t="s">
        <v>142</v>
      </c>
      <c r="B11">
        <v>35</v>
      </c>
      <c r="E11" s="8" t="s">
        <v>20</v>
      </c>
      <c r="F11">
        <v>5920</v>
      </c>
    </row>
    <row r="12" spans="1:6" x14ac:dyDescent="0.25">
      <c r="E12" s="8" t="s">
        <v>45</v>
      </c>
      <c r="F12">
        <v>2253</v>
      </c>
    </row>
    <row r="13" spans="1:6" x14ac:dyDescent="0.25">
      <c r="E13" s="8" t="s">
        <v>48</v>
      </c>
      <c r="F13">
        <v>1224</v>
      </c>
    </row>
    <row r="14" spans="1:6" x14ac:dyDescent="0.25">
      <c r="E14" s="8" t="s">
        <v>28</v>
      </c>
      <c r="F14">
        <v>3703</v>
      </c>
    </row>
    <row r="15" spans="1:6" x14ac:dyDescent="0.25">
      <c r="E15" s="8" t="s">
        <v>58</v>
      </c>
      <c r="F15">
        <v>5880</v>
      </c>
    </row>
    <row r="16" spans="1:6" x14ac:dyDescent="0.25">
      <c r="E16" s="8" t="s">
        <v>16</v>
      </c>
      <c r="F16">
        <v>18007</v>
      </c>
    </row>
    <row r="17" spans="5:6" x14ac:dyDescent="0.25">
      <c r="E17" s="8" t="s">
        <v>142</v>
      </c>
      <c r="F17">
        <v>41862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06621C-4A18-4E06-8140-1FA111C4088A}">
  <sheetPr codeName="Sheet3"/>
  <dimension ref="P37"/>
  <sheetViews>
    <sheetView showGridLines="0" showRowColHeaders="0" tabSelected="1" zoomScaleNormal="100" workbookViewId="0">
      <selection activeCell="P37" sqref="P37"/>
    </sheetView>
  </sheetViews>
  <sheetFormatPr defaultRowHeight="15" x14ac:dyDescent="0.25"/>
  <sheetData>
    <row r="37" spans="16:16" x14ac:dyDescent="0.25">
      <c r="P37" t="s">
        <v>144</v>
      </c>
    </row>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Pivot_data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Jhanvi Upadhyay</dc:creator>
  <cp:lastModifiedBy>Jhanvi Upadhyay</cp:lastModifiedBy>
  <dcterms:created xsi:type="dcterms:W3CDTF">2026-02-07T13:11:39Z</dcterms:created>
  <dcterms:modified xsi:type="dcterms:W3CDTF">2026-02-08T03:57:13Z</dcterms:modified>
</cp:coreProperties>
</file>